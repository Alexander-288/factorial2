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Olek\Downloads\Factorial2\arkusz\"/>
    </mc:Choice>
  </mc:AlternateContent>
  <xr:revisionPtr revIDLastSave="0" documentId="13_ncr:1_{F6C58A78-17CE-4615-A294-05ECE908D616}" xr6:coauthVersionLast="47" xr6:coauthVersionMax="47" xr10:uidLastSave="{00000000-0000-0000-0000-000000000000}"/>
  <bookViews>
    <workbookView xWindow="375" yWindow="375" windowWidth="21000" windowHeight="11190" xr2:uid="{00000000-000D-0000-FFFF-FFFF00000000}"/>
  </bookViews>
  <sheets>
    <sheet name="Bisekcja" sheetId="1" r:id="rId1"/>
    <sheet name="Całkowanie" sheetId="2" r:id="rId2"/>
    <sheet name="Wyk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3" l="1"/>
  <c r="A9" i="3" s="1"/>
  <c r="A10" i="3" s="1"/>
  <c r="C7" i="3"/>
  <c r="B7" i="3"/>
  <c r="A10" i="2"/>
  <c r="E10" i="2" s="1"/>
  <c r="E9" i="2"/>
  <c r="D9" i="2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E8" i="1"/>
  <c r="D8" i="1"/>
  <c r="G8" i="1" s="1"/>
  <c r="C8" i="1"/>
  <c r="H8" i="1" s="1"/>
  <c r="I8" i="1" s="1"/>
  <c r="B8" i="1"/>
  <c r="F8" i="1" l="1"/>
  <c r="A11" i="2"/>
  <c r="C9" i="1"/>
  <c r="B9" i="1"/>
  <c r="E11" i="2"/>
  <c r="A12" i="2"/>
  <c r="A11" i="3"/>
  <c r="C10" i="3"/>
  <c r="B10" i="3"/>
  <c r="D11" i="2"/>
  <c r="B9" i="3"/>
  <c r="C9" i="3"/>
  <c r="B8" i="3"/>
  <c r="D10" i="2"/>
  <c r="C8" i="3"/>
  <c r="E12" i="2" l="1"/>
  <c r="D12" i="2"/>
  <c r="A13" i="2"/>
  <c r="C11" i="3"/>
  <c r="B11" i="3"/>
  <c r="A12" i="3"/>
  <c r="E9" i="1"/>
  <c r="D9" i="1"/>
  <c r="G9" i="1" s="1"/>
  <c r="H9" i="1"/>
  <c r="I9" i="1" s="1"/>
  <c r="F9" i="1"/>
  <c r="C10" i="1" l="1"/>
  <c r="B10" i="1"/>
  <c r="A13" i="3"/>
  <c r="C12" i="3"/>
  <c r="B12" i="3"/>
  <c r="A14" i="2"/>
  <c r="E13" i="2"/>
  <c r="D13" i="2"/>
  <c r="A15" i="2" l="1"/>
  <c r="E14" i="2"/>
  <c r="D14" i="2"/>
  <c r="E10" i="1"/>
  <c r="D10" i="1"/>
  <c r="G10" i="1" s="1"/>
  <c r="A14" i="3"/>
  <c r="C13" i="3"/>
  <c r="B13" i="3"/>
  <c r="H10" i="1"/>
  <c r="I10" i="1" s="1"/>
  <c r="F10" i="1"/>
  <c r="C14" i="3" l="1"/>
  <c r="B14" i="3"/>
  <c r="A15" i="3"/>
  <c r="C11" i="1"/>
  <c r="B11" i="1"/>
  <c r="A16" i="2"/>
  <c r="E15" i="2"/>
  <c r="D15" i="2"/>
  <c r="A17" i="2" l="1"/>
  <c r="E16" i="2"/>
  <c r="D16" i="2"/>
  <c r="F11" i="1"/>
  <c r="H11" i="1"/>
  <c r="I11" i="1" s="1"/>
  <c r="A16" i="3"/>
  <c r="C15" i="3"/>
  <c r="B15" i="3"/>
  <c r="E11" i="1"/>
  <c r="D11" i="1"/>
  <c r="G11" i="1" s="1"/>
  <c r="B12" i="1" l="1"/>
  <c r="C12" i="1"/>
  <c r="A17" i="3"/>
  <c r="C16" i="3"/>
  <c r="B16" i="3"/>
  <c r="E17" i="2"/>
  <c r="D17" i="2"/>
  <c r="A18" i="2"/>
  <c r="C17" i="3" l="1"/>
  <c r="B17" i="3"/>
  <c r="A18" i="3"/>
  <c r="D18" i="2"/>
  <c r="A19" i="2"/>
  <c r="E18" i="2"/>
  <c r="H12" i="1"/>
  <c r="I12" i="1" s="1"/>
  <c r="F12" i="1"/>
  <c r="D12" i="1"/>
  <c r="G12" i="1" s="1"/>
  <c r="E12" i="1"/>
  <c r="C13" i="1" l="1"/>
  <c r="B13" i="1"/>
  <c r="D19" i="2"/>
  <c r="E19" i="2"/>
  <c r="A19" i="3"/>
  <c r="C18" i="3"/>
  <c r="B18" i="3"/>
  <c r="A20" i="3" l="1"/>
  <c r="C19" i="3"/>
  <c r="B19" i="3"/>
  <c r="E13" i="1"/>
  <c r="D13" i="1"/>
  <c r="G13" i="1" s="1"/>
  <c r="F13" i="1"/>
  <c r="H13" i="1"/>
  <c r="I13" i="1" s="1"/>
  <c r="C14" i="1" l="1"/>
  <c r="B14" i="1"/>
  <c r="B20" i="3"/>
  <c r="A21" i="3"/>
  <c r="C20" i="3"/>
  <c r="A22" i="3" l="1"/>
  <c r="C21" i="3"/>
  <c r="B21" i="3"/>
  <c r="D14" i="1"/>
  <c r="G14" i="1" s="1"/>
  <c r="E14" i="1"/>
  <c r="H14" i="1"/>
  <c r="I14" i="1" s="1"/>
  <c r="F14" i="1"/>
  <c r="C15" i="1" l="1"/>
  <c r="B15" i="1"/>
  <c r="A23" i="3"/>
  <c r="C22" i="3"/>
  <c r="B22" i="3"/>
  <c r="E15" i="1" l="1"/>
  <c r="D15" i="1"/>
  <c r="G15" i="1" s="1"/>
  <c r="A24" i="3"/>
  <c r="C23" i="3"/>
  <c r="B23" i="3"/>
  <c r="F15" i="1"/>
  <c r="H15" i="1"/>
  <c r="I15" i="1" s="1"/>
  <c r="A25" i="3" l="1"/>
  <c r="C24" i="3"/>
  <c r="B24" i="3"/>
  <c r="B16" i="1"/>
  <c r="C16" i="1"/>
  <c r="E16" i="1" l="1"/>
  <c r="D16" i="1"/>
  <c r="G16" i="1" s="1"/>
  <c r="H16" i="1"/>
  <c r="I16" i="1" s="1"/>
  <c r="F16" i="1"/>
  <c r="C25" i="3"/>
  <c r="B25" i="3"/>
  <c r="A26" i="3"/>
  <c r="A27" i="3" l="1"/>
  <c r="C26" i="3"/>
  <c r="B26" i="3"/>
  <c r="C17" i="1"/>
  <c r="B17" i="1"/>
  <c r="E17" i="1" l="1"/>
  <c r="D17" i="1"/>
  <c r="G17" i="1" s="1"/>
  <c r="H17" i="1"/>
  <c r="I17" i="1" s="1"/>
  <c r="F17" i="1"/>
  <c r="A28" i="3"/>
  <c r="C27" i="3"/>
  <c r="B27" i="3"/>
  <c r="C28" i="3" l="1"/>
  <c r="B28" i="3"/>
  <c r="A29" i="3"/>
  <c r="C18" i="1"/>
  <c r="B18" i="1"/>
  <c r="D18" i="1" l="1"/>
  <c r="G18" i="1" s="1"/>
  <c r="E18" i="1"/>
  <c r="A30" i="3"/>
  <c r="C29" i="3"/>
  <c r="B29" i="3"/>
  <c r="H18" i="1"/>
  <c r="I18" i="1" s="1"/>
  <c r="F18" i="1"/>
  <c r="A31" i="3" l="1"/>
  <c r="C30" i="3"/>
  <c r="B30" i="3"/>
  <c r="C19" i="1"/>
  <c r="B19" i="1"/>
  <c r="E19" i="1" l="1"/>
  <c r="D19" i="1"/>
  <c r="G19" i="1" s="1"/>
  <c r="F19" i="1"/>
  <c r="H19" i="1"/>
  <c r="I19" i="1" s="1"/>
  <c r="C31" i="3"/>
  <c r="B31" i="3"/>
  <c r="A32" i="3"/>
  <c r="A33" i="3" l="1"/>
  <c r="C32" i="3"/>
  <c r="B32" i="3"/>
  <c r="B20" i="1"/>
  <c r="C20" i="1"/>
  <c r="H20" i="1" l="1"/>
  <c r="I20" i="1" s="1"/>
  <c r="F20" i="1"/>
  <c r="E20" i="1"/>
  <c r="D20" i="1"/>
  <c r="G20" i="1" s="1"/>
  <c r="A34" i="3"/>
  <c r="C33" i="3"/>
  <c r="B33" i="3"/>
  <c r="C21" i="1" l="1"/>
  <c r="B21" i="1"/>
  <c r="B34" i="3"/>
  <c r="A35" i="3"/>
  <c r="C34" i="3"/>
  <c r="A36" i="3" l="1"/>
  <c r="C35" i="3"/>
  <c r="B35" i="3"/>
  <c r="E21" i="1"/>
  <c r="D21" i="1"/>
  <c r="G21" i="1" s="1"/>
  <c r="F21" i="1"/>
  <c r="H21" i="1"/>
  <c r="I21" i="1" s="1"/>
  <c r="C22" i="1" l="1"/>
  <c r="B22" i="1"/>
  <c r="A37" i="3"/>
  <c r="C36" i="3"/>
  <c r="B36" i="3"/>
  <c r="A38" i="3" l="1"/>
  <c r="C37" i="3"/>
  <c r="B37" i="3"/>
  <c r="E22" i="1"/>
  <c r="D22" i="1"/>
  <c r="G22" i="1" s="1"/>
  <c r="H22" i="1"/>
  <c r="I22" i="1" s="1"/>
  <c r="F22" i="1"/>
  <c r="C23" i="1" l="1"/>
  <c r="B23" i="1"/>
  <c r="A39" i="3"/>
  <c r="C38" i="3"/>
  <c r="B38" i="3"/>
  <c r="E23" i="1" l="1"/>
  <c r="D23" i="1"/>
  <c r="G23" i="1" s="1"/>
  <c r="C39" i="3"/>
  <c r="B39" i="3"/>
  <c r="A40" i="3"/>
  <c r="F23" i="1"/>
  <c r="H23" i="1"/>
  <c r="I23" i="1" s="1"/>
  <c r="A41" i="3" l="1"/>
  <c r="C40" i="3"/>
  <c r="B40" i="3"/>
  <c r="B24" i="1"/>
  <c r="C24" i="1"/>
  <c r="E24" i="1" l="1"/>
  <c r="D24" i="1"/>
  <c r="G24" i="1" s="1"/>
  <c r="H24" i="1"/>
  <c r="I24" i="1" s="1"/>
  <c r="F24" i="1"/>
  <c r="A42" i="3"/>
  <c r="C41" i="3"/>
  <c r="B41" i="3"/>
  <c r="B42" i="3" l="1"/>
  <c r="A43" i="3"/>
  <c r="C42" i="3"/>
  <c r="C25" i="1"/>
  <c r="B25" i="1"/>
  <c r="E25" i="1" l="1"/>
  <c r="D25" i="1"/>
  <c r="G25" i="1" s="1"/>
  <c r="F25" i="1"/>
  <c r="H25" i="1"/>
  <c r="I25" i="1" s="1"/>
  <c r="A44" i="3"/>
  <c r="C43" i="3"/>
  <c r="B43" i="3"/>
  <c r="A45" i="3" l="1"/>
  <c r="C44" i="3"/>
  <c r="B44" i="3"/>
  <c r="C26" i="1"/>
  <c r="B26" i="1"/>
  <c r="H26" i="1" l="1"/>
  <c r="I26" i="1" s="1"/>
  <c r="B32" i="1" s="1"/>
  <c r="F26" i="1"/>
  <c r="D26" i="1"/>
  <c r="G26" i="1" s="1"/>
  <c r="E26" i="1"/>
  <c r="A46" i="3"/>
  <c r="C45" i="3"/>
  <c r="B45" i="3"/>
  <c r="A47" i="3" l="1"/>
  <c r="C46" i="3"/>
  <c r="B46" i="3"/>
  <c r="C28" i="1"/>
  <c r="B28" i="1"/>
  <c r="B30" i="1" s="1"/>
  <c r="B3" i="3" l="1"/>
  <c r="B4" i="2"/>
  <c r="B3" i="2"/>
  <c r="B9" i="2" s="1"/>
  <c r="B31" i="1"/>
  <c r="H28" i="1"/>
  <c r="I28" i="1" s="1"/>
  <c r="C47" i="3"/>
  <c r="B47" i="3"/>
  <c r="A48" i="3"/>
  <c r="C9" i="2" l="1"/>
  <c r="A49" i="3"/>
  <c r="C48" i="3"/>
  <c r="B48" i="3"/>
  <c r="B6" i="2"/>
  <c r="B25" i="2"/>
  <c r="H8" i="3"/>
  <c r="I8" i="3" s="1"/>
  <c r="B4" i="3"/>
  <c r="H7" i="3"/>
  <c r="I7" i="3" s="1"/>
  <c r="E7" i="3"/>
  <c r="E8" i="3" l="1"/>
  <c r="F8" i="3" s="1"/>
  <c r="E10" i="3"/>
  <c r="F7" i="3"/>
  <c r="G9" i="2"/>
  <c r="F9" i="2"/>
  <c r="A50" i="3"/>
  <c r="C49" i="3"/>
  <c r="B49" i="3"/>
  <c r="B10" i="2"/>
  <c r="C10" i="2" l="1"/>
  <c r="B11" i="2"/>
  <c r="C50" i="3"/>
  <c r="B50" i="3"/>
  <c r="A51" i="3"/>
  <c r="E11" i="3"/>
  <c r="F11" i="3" s="1"/>
  <c r="E13" i="3"/>
  <c r="F10" i="3"/>
  <c r="A52" i="3" l="1"/>
  <c r="C51" i="3"/>
  <c r="B51" i="3"/>
  <c r="B12" i="2"/>
  <c r="C11" i="2"/>
  <c r="E14" i="3"/>
  <c r="F14" i="3" s="1"/>
  <c r="E16" i="3"/>
  <c r="F13" i="3"/>
  <c r="G10" i="2"/>
  <c r="F10" i="2"/>
  <c r="E19" i="3" l="1"/>
  <c r="F16" i="3"/>
  <c r="E17" i="3"/>
  <c r="F17" i="3" s="1"/>
  <c r="G11" i="2"/>
  <c r="F11" i="2"/>
  <c r="C12" i="2"/>
  <c r="B13" i="2"/>
  <c r="A53" i="3"/>
  <c r="C52" i="3"/>
  <c r="B52" i="3"/>
  <c r="C53" i="3" l="1"/>
  <c r="B53" i="3"/>
  <c r="A54" i="3"/>
  <c r="G12" i="2"/>
  <c r="F12" i="2"/>
  <c r="E22" i="3"/>
  <c r="F19" i="3"/>
  <c r="E20" i="3"/>
  <c r="F20" i="3" s="1"/>
  <c r="B14" i="2"/>
  <c r="C13" i="2"/>
  <c r="C14" i="2" l="1"/>
  <c r="B15" i="2"/>
  <c r="G13" i="2"/>
  <c r="F13" i="2"/>
  <c r="E25" i="3"/>
  <c r="F22" i="3"/>
  <c r="E23" i="3"/>
  <c r="F23" i="3" s="1"/>
  <c r="A55" i="3"/>
  <c r="C54" i="3"/>
  <c r="B54" i="3"/>
  <c r="C15" i="2" l="1"/>
  <c r="B16" i="2"/>
  <c r="A56" i="3"/>
  <c r="C55" i="3"/>
  <c r="B55" i="3"/>
  <c r="E28" i="3"/>
  <c r="F25" i="3"/>
  <c r="E26" i="3"/>
  <c r="F26" i="3" s="1"/>
  <c r="F14" i="2"/>
  <c r="G14" i="2"/>
  <c r="B17" i="2" l="1"/>
  <c r="C16" i="2"/>
  <c r="E29" i="3"/>
  <c r="F29" i="3" s="1"/>
  <c r="F28" i="3"/>
  <c r="E31" i="3"/>
  <c r="B56" i="3"/>
  <c r="A57" i="3"/>
  <c r="C56" i="3"/>
  <c r="G15" i="2"/>
  <c r="F15" i="2"/>
  <c r="A58" i="3" l="1"/>
  <c r="C57" i="3"/>
  <c r="B57" i="3"/>
  <c r="E32" i="3"/>
  <c r="F32" i="3" s="1"/>
  <c r="F31" i="3"/>
  <c r="E34" i="3"/>
  <c r="F16" i="2"/>
  <c r="G16" i="2"/>
  <c r="C17" i="2"/>
  <c r="B18" i="2"/>
  <c r="B19" i="2" l="1"/>
  <c r="C19" i="2" s="1"/>
  <c r="C18" i="2"/>
  <c r="F17" i="2"/>
  <c r="G17" i="2"/>
  <c r="E35" i="3"/>
  <c r="F35" i="3" s="1"/>
  <c r="E37" i="3"/>
  <c r="F34" i="3"/>
  <c r="A59" i="3"/>
  <c r="C58" i="3"/>
  <c r="B58" i="3"/>
  <c r="C59" i="3" l="1"/>
  <c r="B59" i="3"/>
  <c r="E38" i="3"/>
  <c r="F38" i="3" s="1"/>
  <c r="E40" i="3"/>
  <c r="F37" i="3"/>
  <c r="F18" i="2"/>
  <c r="G18" i="2"/>
  <c r="G19" i="2"/>
  <c r="G21" i="2" s="1"/>
  <c r="B24" i="2" s="1"/>
  <c r="B27" i="2" s="1"/>
  <c r="F19" i="2"/>
  <c r="F21" i="2" s="1"/>
  <c r="B23" i="2" s="1"/>
  <c r="B26" i="2" s="1"/>
  <c r="E41" i="3" l="1"/>
  <c r="F41" i="3" s="1"/>
  <c r="E43" i="3"/>
  <c r="F40" i="3"/>
  <c r="E44" i="3" l="1"/>
  <c r="F44" i="3" s="1"/>
  <c r="E46" i="3"/>
  <c r="F43" i="3"/>
  <c r="E47" i="3" l="1"/>
  <c r="F47" i="3" s="1"/>
  <c r="E49" i="3"/>
  <c r="F46" i="3"/>
  <c r="E50" i="3" l="1"/>
  <c r="F50" i="3" s="1"/>
  <c r="E52" i="3"/>
  <c r="F49" i="3"/>
  <c r="E55" i="3" l="1"/>
  <c r="F52" i="3"/>
  <c r="E53" i="3"/>
  <c r="F53" i="3" s="1"/>
  <c r="E58" i="3" l="1"/>
  <c r="F55" i="3"/>
  <c r="E56" i="3"/>
  <c r="F56" i="3" s="1"/>
  <c r="F58" i="3" l="1"/>
  <c r="E61" i="3"/>
  <c r="E59" i="3"/>
  <c r="F59" i="3" s="1"/>
  <c r="E64" i="3" l="1"/>
  <c r="E62" i="3"/>
  <c r="F62" i="3" s="1"/>
  <c r="F61" i="3"/>
  <c r="E65" i="3" l="1"/>
  <c r="F65" i="3" s="1"/>
  <c r="F64" i="3"/>
  <c r="E67" i="3"/>
  <c r="E70" i="3" l="1"/>
  <c r="E68" i="3"/>
  <c r="F68" i="3" s="1"/>
  <c r="F67" i="3"/>
  <c r="E73" i="3" l="1"/>
  <c r="E71" i="3"/>
  <c r="F71" i="3" s="1"/>
  <c r="F70" i="3"/>
  <c r="E74" i="3" l="1"/>
  <c r="F74" i="3" s="1"/>
  <c r="F73" i="3"/>
  <c r="E76" i="3"/>
  <c r="E79" i="3" l="1"/>
  <c r="E77" i="3"/>
  <c r="F77" i="3" s="1"/>
  <c r="F76" i="3"/>
  <c r="E82" i="3" l="1"/>
  <c r="E80" i="3"/>
  <c r="F80" i="3" s="1"/>
  <c r="F79" i="3"/>
  <c r="E83" i="3" l="1"/>
  <c r="F83" i="3" s="1"/>
  <c r="F82" i="3"/>
  <c r="E85" i="3"/>
  <c r="E88" i="3" l="1"/>
  <c r="E86" i="3"/>
  <c r="F86" i="3" s="1"/>
  <c r="F85" i="3"/>
  <c r="E91" i="3" l="1"/>
  <c r="E89" i="3"/>
  <c r="F89" i="3" s="1"/>
  <c r="F88" i="3"/>
  <c r="E92" i="3" l="1"/>
  <c r="F92" i="3" s="1"/>
  <c r="F91" i="3"/>
  <c r="E94" i="3"/>
  <c r="E97" i="3" l="1"/>
  <c r="E95" i="3"/>
  <c r="F95" i="3" s="1"/>
  <c r="F94" i="3"/>
  <c r="E100" i="3" l="1"/>
  <c r="E98" i="3"/>
  <c r="F98" i="3" s="1"/>
  <c r="F97" i="3"/>
  <c r="E101" i="3" l="1"/>
  <c r="F101" i="3" s="1"/>
  <c r="F100" i="3"/>
  <c r="E103" i="3"/>
  <c r="E106" i="3" l="1"/>
  <c r="E104" i="3"/>
  <c r="F104" i="3" s="1"/>
  <c r="F103" i="3"/>
  <c r="E109" i="3" l="1"/>
  <c r="E107" i="3"/>
  <c r="F107" i="3" s="1"/>
  <c r="F106" i="3"/>
  <c r="E110" i="3" l="1"/>
  <c r="F110" i="3" s="1"/>
  <c r="F109" i="3"/>
  <c r="E112" i="3"/>
  <c r="F112" i="3" l="1"/>
  <c r="E115" i="3"/>
  <c r="E113" i="3"/>
  <c r="F113" i="3" s="1"/>
  <c r="E118" i="3" l="1"/>
  <c r="E116" i="3"/>
  <c r="F116" i="3" s="1"/>
  <c r="F115" i="3"/>
  <c r="E119" i="3" l="1"/>
  <c r="F119" i="3" s="1"/>
  <c r="F118" i="3"/>
  <c r="E121" i="3"/>
  <c r="E124" i="3" l="1"/>
  <c r="E122" i="3"/>
  <c r="F122" i="3" s="1"/>
  <c r="F121" i="3"/>
  <c r="E127" i="3" l="1"/>
  <c r="E125" i="3"/>
  <c r="F125" i="3" s="1"/>
  <c r="F124" i="3"/>
  <c r="E128" i="3" l="1"/>
  <c r="F128" i="3" s="1"/>
  <c r="F127" i="3"/>
</calcChain>
</file>

<file path=xl/sharedStrings.xml><?xml version="1.0" encoding="utf-8"?>
<sst xmlns="http://schemas.openxmlformats.org/spreadsheetml/2006/main" count="45" uniqueCount="40">
  <si>
    <t>Bisekcja</t>
  </si>
  <si>
    <t>Dokładność</t>
  </si>
  <si>
    <t>Początek</t>
  </si>
  <si>
    <t>Koniec</t>
  </si>
  <si>
    <t>Krok</t>
  </si>
  <si>
    <t>a</t>
  </si>
  <si>
    <t>b</t>
  </si>
  <si>
    <t>c</t>
  </si>
  <si>
    <t>f(a)</t>
  </si>
  <si>
    <t>f(b)</t>
  </si>
  <si>
    <t>f(c)</t>
  </si>
  <si>
    <t>Połowa przedziału</t>
  </si>
  <si>
    <t>Koniec?</t>
  </si>
  <si>
    <t>Po ostatnim kroku</t>
  </si>
  <si>
    <t>Pierwiastek</t>
  </si>
  <si>
    <t>Drugi pierwiastek</t>
  </si>
  <si>
    <t>Liczba kroków</t>
  </si>
  <si>
    <t>Całkowanie</t>
  </si>
  <si>
    <t>Liczba przedziałów</t>
  </si>
  <si>
    <t>i</t>
  </si>
  <si>
    <t>x</t>
  </si>
  <si>
    <t>f(x)</t>
  </si>
  <si>
    <t>Waga trapezy</t>
  </si>
  <si>
    <t>Waga Simpson</t>
  </si>
  <si>
    <t>Trapezy</t>
  </si>
  <si>
    <t>Simpson</t>
  </si>
  <si>
    <t>Suma</t>
  </si>
  <si>
    <t>Metoda trapezów</t>
  </si>
  <si>
    <t>Metoda Simpsona</t>
  </si>
  <si>
    <t>Pole dokładne</t>
  </si>
  <si>
    <t>Błąd trapezów</t>
  </si>
  <si>
    <t>Błąd Simpsona</t>
  </si>
  <si>
    <t>Wykres</t>
  </si>
  <si>
    <t>Krok kresek</t>
  </si>
  <si>
    <t>x^2</t>
  </si>
  <si>
    <t>cos x</t>
  </si>
  <si>
    <t>Obszar x</t>
  </si>
  <si>
    <t>Obszar y</t>
  </si>
  <si>
    <t>Punkt x</t>
  </si>
  <si>
    <t>Punkt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</si>
</sst>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horizontal="center"/>
    </xf>
    <xf numFmtId="11" fontId="3" fillId="0" borderId="0" xfId="0" applyNumberFormat="1" applyFont="1"/>
    <xf numFmtId="164" fontId="2" fillId="0" borderId="0" xfId="0" applyNumberFormat="1" applyFont="1"/>
    <xf numFmtId="1" fontId="3" fillId="0" borderId="0" xfId="0" applyNumberFormat="1" applyFont="1"/>
    <xf numFmtId="0" fontId="2" fillId="2" borderId="0" xfId="0" applyFont="1" applyFill="1"/>
    <xf numFmtId="2" fontId="3" fillId="0" borderId="0" xfId="0" applyNumberFormat="1" applyFont="1"/>
    <xf numFmtId="165" fontId="3" fillId="0" borderId="0" xfId="0" applyNumberFormat="1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t>Obszar między wykresami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obszar</c:v>
          </c:tx>
          <c:spPr>
            <a:ln w="19050">
              <a:solidFill>
                <a:srgbClr val="9DB4F0"/>
              </a:solidFill>
              <a:prstDash val="solid"/>
            </a:ln>
          </c:spPr>
          <c:marker>
            <c:symbol val="none"/>
          </c:marker>
          <c:xVal>
            <c:numRef>
              <c:f>Wykres!$E$7:$E$128</c:f>
              <c:numCache>
                <c:formatCode>0.000</c:formatCode>
                <c:ptCount val="122"/>
                <c:pt idx="0">
                  <c:v>-0.82413196563720703</c:v>
                </c:pt>
                <c:pt idx="1">
                  <c:v>-0.82413196563720703</c:v>
                </c:pt>
                <c:pt idx="3">
                  <c:v>-0.78292536735534668</c:v>
                </c:pt>
                <c:pt idx="4">
                  <c:v>-0.78292536735534668</c:v>
                </c:pt>
                <c:pt idx="6">
                  <c:v>-0.74171876907348633</c:v>
                </c:pt>
                <c:pt idx="7">
                  <c:v>-0.74171876907348633</c:v>
                </c:pt>
                <c:pt idx="9">
                  <c:v>-0.70051217079162598</c:v>
                </c:pt>
                <c:pt idx="10">
                  <c:v>-0.70051217079162598</c:v>
                </c:pt>
                <c:pt idx="12">
                  <c:v>-0.65930557250976563</c:v>
                </c:pt>
                <c:pt idx="13">
                  <c:v>-0.65930557250976563</c:v>
                </c:pt>
                <c:pt idx="15">
                  <c:v>-0.61809897422790527</c:v>
                </c:pt>
                <c:pt idx="16">
                  <c:v>-0.61809897422790527</c:v>
                </c:pt>
                <c:pt idx="18">
                  <c:v>-0.57689237594604492</c:v>
                </c:pt>
                <c:pt idx="19">
                  <c:v>-0.57689237594604492</c:v>
                </c:pt>
                <c:pt idx="21">
                  <c:v>-0.53568577766418457</c:v>
                </c:pt>
                <c:pt idx="22">
                  <c:v>-0.53568577766418457</c:v>
                </c:pt>
                <c:pt idx="24">
                  <c:v>-0.49447917938232422</c:v>
                </c:pt>
                <c:pt idx="25">
                  <c:v>-0.49447917938232422</c:v>
                </c:pt>
                <c:pt idx="27">
                  <c:v>-0.45327258110046387</c:v>
                </c:pt>
                <c:pt idx="28">
                  <c:v>-0.45327258110046387</c:v>
                </c:pt>
                <c:pt idx="30">
                  <c:v>-0.41206598281860352</c:v>
                </c:pt>
                <c:pt idx="31">
                  <c:v>-0.41206598281860352</c:v>
                </c:pt>
                <c:pt idx="33">
                  <c:v>-0.37085938453674316</c:v>
                </c:pt>
                <c:pt idx="34">
                  <c:v>-0.37085938453674316</c:v>
                </c:pt>
                <c:pt idx="36">
                  <c:v>-0.32965278625488281</c:v>
                </c:pt>
                <c:pt idx="37">
                  <c:v>-0.32965278625488281</c:v>
                </c:pt>
                <c:pt idx="39">
                  <c:v>-0.28844618797302246</c:v>
                </c:pt>
                <c:pt idx="40">
                  <c:v>-0.28844618797302246</c:v>
                </c:pt>
                <c:pt idx="42">
                  <c:v>-0.24723958969116211</c:v>
                </c:pt>
                <c:pt idx="43">
                  <c:v>-0.24723958969116211</c:v>
                </c:pt>
                <c:pt idx="45">
                  <c:v>-0.20603299140930176</c:v>
                </c:pt>
                <c:pt idx="46">
                  <c:v>-0.20603299140930176</c:v>
                </c:pt>
                <c:pt idx="48">
                  <c:v>-0.16482639312744141</c:v>
                </c:pt>
                <c:pt idx="49">
                  <c:v>-0.16482639312744141</c:v>
                </c:pt>
                <c:pt idx="51">
                  <c:v>-0.12361979484558105</c:v>
                </c:pt>
                <c:pt idx="52">
                  <c:v>-0.12361979484558105</c:v>
                </c:pt>
                <c:pt idx="54">
                  <c:v>-8.2413196563720703E-2</c:v>
                </c:pt>
                <c:pt idx="55">
                  <c:v>-8.2413196563720703E-2</c:v>
                </c:pt>
                <c:pt idx="57">
                  <c:v>-4.1206598281860352E-2</c:v>
                </c:pt>
                <c:pt idx="58">
                  <c:v>-4.1206598281860352E-2</c:v>
                </c:pt>
                <c:pt idx="60">
                  <c:v>0</c:v>
                </c:pt>
                <c:pt idx="61">
                  <c:v>0</c:v>
                </c:pt>
                <c:pt idx="63">
                  <c:v>4.1206598281860352E-2</c:v>
                </c:pt>
                <c:pt idx="64">
                  <c:v>4.1206598281860352E-2</c:v>
                </c:pt>
                <c:pt idx="66">
                  <c:v>8.2413196563720703E-2</c:v>
                </c:pt>
                <c:pt idx="67">
                  <c:v>8.2413196563720703E-2</c:v>
                </c:pt>
                <c:pt idx="69">
                  <c:v>0.12361979484558105</c:v>
                </c:pt>
                <c:pt idx="70">
                  <c:v>0.12361979484558105</c:v>
                </c:pt>
                <c:pt idx="72">
                  <c:v>0.16482639312744141</c:v>
                </c:pt>
                <c:pt idx="73">
                  <c:v>0.16482639312744141</c:v>
                </c:pt>
                <c:pt idx="75">
                  <c:v>0.20603299140930176</c:v>
                </c:pt>
                <c:pt idx="76">
                  <c:v>0.20603299140930176</c:v>
                </c:pt>
                <c:pt idx="78">
                  <c:v>0.24723958969116211</c:v>
                </c:pt>
                <c:pt idx="79">
                  <c:v>0.24723958969116211</c:v>
                </c:pt>
                <c:pt idx="81">
                  <c:v>0.28844618797302246</c:v>
                </c:pt>
                <c:pt idx="82">
                  <c:v>0.28844618797302246</c:v>
                </c:pt>
                <c:pt idx="84">
                  <c:v>0.32965278625488281</c:v>
                </c:pt>
                <c:pt idx="85">
                  <c:v>0.32965278625488281</c:v>
                </c:pt>
                <c:pt idx="87">
                  <c:v>0.37085938453674316</c:v>
                </c:pt>
                <c:pt idx="88">
                  <c:v>0.37085938453674316</c:v>
                </c:pt>
                <c:pt idx="90">
                  <c:v>0.41206598281860352</c:v>
                </c:pt>
                <c:pt idx="91">
                  <c:v>0.41206598281860352</c:v>
                </c:pt>
                <c:pt idx="93">
                  <c:v>0.45327258110046387</c:v>
                </c:pt>
                <c:pt idx="94">
                  <c:v>0.45327258110046387</c:v>
                </c:pt>
                <c:pt idx="96">
                  <c:v>0.49447917938232422</c:v>
                </c:pt>
                <c:pt idx="97">
                  <c:v>0.49447917938232422</c:v>
                </c:pt>
                <c:pt idx="99">
                  <c:v>0.53568577766418457</c:v>
                </c:pt>
                <c:pt idx="100">
                  <c:v>0.53568577766418457</c:v>
                </c:pt>
                <c:pt idx="102">
                  <c:v>0.57689237594604492</c:v>
                </c:pt>
                <c:pt idx="103">
                  <c:v>0.57689237594604492</c:v>
                </c:pt>
                <c:pt idx="105">
                  <c:v>0.61809897422790527</c:v>
                </c:pt>
                <c:pt idx="106">
                  <c:v>0.61809897422790527</c:v>
                </c:pt>
                <c:pt idx="108">
                  <c:v>0.65930557250976563</c:v>
                </c:pt>
                <c:pt idx="109">
                  <c:v>0.65930557250976563</c:v>
                </c:pt>
                <c:pt idx="111">
                  <c:v>0.70051217079162598</c:v>
                </c:pt>
                <c:pt idx="112">
                  <c:v>0.70051217079162598</c:v>
                </c:pt>
                <c:pt idx="114">
                  <c:v>0.74171876907348633</c:v>
                </c:pt>
                <c:pt idx="115">
                  <c:v>0.74171876907348633</c:v>
                </c:pt>
                <c:pt idx="117">
                  <c:v>0.78292536735534668</c:v>
                </c:pt>
                <c:pt idx="118">
                  <c:v>0.78292536735534668</c:v>
                </c:pt>
                <c:pt idx="120">
                  <c:v>0.82413196563720703</c:v>
                </c:pt>
                <c:pt idx="121">
                  <c:v>0.82413196563720703</c:v>
                </c:pt>
              </c:numCache>
            </c:numRef>
          </c:xVal>
          <c:yVal>
            <c:numRef>
              <c:f>Wykres!$F$7:$F$128</c:f>
              <c:numCache>
                <c:formatCode>0.000</c:formatCode>
                <c:ptCount val="122"/>
                <c:pt idx="0">
                  <c:v>0.67919349678504659</c:v>
                </c:pt>
                <c:pt idx="1">
                  <c:v>0.67919432261909629</c:v>
                </c:pt>
                <c:pt idx="3">
                  <c:v>0.61297213084850455</c:v>
                </c:pt>
                <c:pt idx="4">
                  <c:v>0.70885314837546565</c:v>
                </c:pt>
                <c:pt idx="6">
                  <c:v>0.55014673239588774</c:v>
                </c:pt>
                <c:pt idx="7">
                  <c:v>0.73730852331157326</c:v>
                </c:pt>
                <c:pt idx="9">
                  <c:v>0.49071730142719616</c:v>
                </c:pt>
                <c:pt idx="10">
                  <c:v>0.76451213749977576</c:v>
                </c:pt>
                <c:pt idx="12">
                  <c:v>0.43468383794242982</c:v>
                </c:pt>
                <c:pt idx="13">
                  <c:v>0.79041780618109481</c:v>
                </c:pt>
                <c:pt idx="15">
                  <c:v>0.38204634194158871</c:v>
                </c:pt>
                <c:pt idx="16">
                  <c:v>0.8149815481750905</c:v>
                </c:pt>
                <c:pt idx="18">
                  <c:v>0.33280481342467283</c:v>
                </c:pt>
                <c:pt idx="19">
                  <c:v>0.83816166054862484</c:v>
                </c:pt>
                <c:pt idx="21">
                  <c:v>0.28695925239168218</c:v>
                </c:pt>
                <c:pt idx="22">
                  <c:v>0.85991878941674504</c:v>
                </c:pt>
                <c:pt idx="24">
                  <c:v>0.24450965884261677</c:v>
                </c:pt>
                <c:pt idx="25">
                  <c:v>0.88021599675548523</c:v>
                </c:pt>
                <c:pt idx="27">
                  <c:v>0.20545603277747659</c:v>
                </c:pt>
                <c:pt idx="28">
                  <c:v>0.89901882311315684</c:v>
                </c:pt>
                <c:pt idx="30">
                  <c:v>0.16979837419626165</c:v>
                </c:pt>
                <c:pt idx="31">
                  <c:v>0.91629534611365793</c:v>
                </c:pt>
                <c:pt idx="33">
                  <c:v>0.13753668309897193</c:v>
                </c:pt>
                <c:pt idx="34">
                  <c:v>0.93201623465247996</c:v>
                </c:pt>
                <c:pt idx="36">
                  <c:v>0.10867095948560745</c:v>
                </c:pt>
                <c:pt idx="37">
                  <c:v>0.94615479869339958</c:v>
                </c:pt>
                <c:pt idx="39">
                  <c:v>8.3201203356168207E-2</c:v>
                </c:pt>
                <c:pt idx="40">
                  <c:v>0.95868703458131344</c:v>
                </c:pt>
                <c:pt idx="42">
                  <c:v>6.1127414710654193E-2</c:v>
                </c:pt>
                <c:pt idx="43">
                  <c:v>0.96959166579428813</c:v>
                </c:pt>
                <c:pt idx="45">
                  <c:v>4.2449593549065412E-2</c:v>
                </c:pt>
                <c:pt idx="46">
                  <c:v>0.97885017906563665</c:v>
                </c:pt>
                <c:pt idx="48">
                  <c:v>2.7167739871401864E-2</c:v>
                </c:pt>
                <c:pt idx="49">
                  <c:v>0.98644685581469604</c:v>
                </c:pt>
                <c:pt idx="51">
                  <c:v>1.5281853677663548E-2</c:v>
                </c:pt>
                <c:pt idx="52">
                  <c:v>0.99236879883294604</c:v>
                </c:pt>
                <c:pt idx="54">
                  <c:v>6.7919349678504659E-3</c:v>
                </c:pt>
                <c:pt idx="55">
                  <c:v>0.9966059541801604</c:v>
                </c:pt>
                <c:pt idx="57">
                  <c:v>1.6979837419626165E-3</c:v>
                </c:pt>
                <c:pt idx="58">
                  <c:v>0.99915112825341901</c:v>
                </c:pt>
                <c:pt idx="60">
                  <c:v>0</c:v>
                </c:pt>
                <c:pt idx="61">
                  <c:v>1</c:v>
                </c:pt>
                <c:pt idx="63">
                  <c:v>1.6979837419626165E-3</c:v>
                </c:pt>
                <c:pt idx="64">
                  <c:v>0.99915112825341901</c:v>
                </c:pt>
                <c:pt idx="66">
                  <c:v>6.7919349678504659E-3</c:v>
                </c:pt>
                <c:pt idx="67">
                  <c:v>0.9966059541801604</c:v>
                </c:pt>
                <c:pt idx="69">
                  <c:v>1.5281853677663548E-2</c:v>
                </c:pt>
                <c:pt idx="70">
                  <c:v>0.99236879883294604</c:v>
                </c:pt>
                <c:pt idx="72">
                  <c:v>2.7167739871401864E-2</c:v>
                </c:pt>
                <c:pt idx="73">
                  <c:v>0.98644685581469604</c:v>
                </c:pt>
                <c:pt idx="75">
                  <c:v>4.2449593549065412E-2</c:v>
                </c:pt>
                <c:pt idx="76">
                  <c:v>0.97885017906563665</c:v>
                </c:pt>
                <c:pt idx="78">
                  <c:v>6.1127414710654193E-2</c:v>
                </c:pt>
                <c:pt idx="79">
                  <c:v>0.96959166579428813</c:v>
                </c:pt>
                <c:pt idx="81">
                  <c:v>8.3201203356168207E-2</c:v>
                </c:pt>
                <c:pt idx="82">
                  <c:v>0.95868703458131344</c:v>
                </c:pt>
                <c:pt idx="84">
                  <c:v>0.10867095948560745</c:v>
                </c:pt>
                <c:pt idx="85">
                  <c:v>0.94615479869339958</c:v>
                </c:pt>
                <c:pt idx="87">
                  <c:v>0.13753668309897193</c:v>
                </c:pt>
                <c:pt idx="88">
                  <c:v>0.93201623465247996</c:v>
                </c:pt>
                <c:pt idx="90">
                  <c:v>0.16979837419626165</c:v>
                </c:pt>
                <c:pt idx="91">
                  <c:v>0.91629534611365793</c:v>
                </c:pt>
                <c:pt idx="93">
                  <c:v>0.20545603277747659</c:v>
                </c:pt>
                <c:pt idx="94">
                  <c:v>0.89901882311315684</c:v>
                </c:pt>
                <c:pt idx="96">
                  <c:v>0.24450965884261677</c:v>
                </c:pt>
                <c:pt idx="97">
                  <c:v>0.88021599675548523</c:v>
                </c:pt>
                <c:pt idx="99">
                  <c:v>0.28695925239168218</c:v>
                </c:pt>
                <c:pt idx="100">
                  <c:v>0.85991878941674504</c:v>
                </c:pt>
                <c:pt idx="102">
                  <c:v>0.33280481342467283</c:v>
                </c:pt>
                <c:pt idx="103">
                  <c:v>0.83816166054862484</c:v>
                </c:pt>
                <c:pt idx="105">
                  <c:v>0.38204634194158871</c:v>
                </c:pt>
                <c:pt idx="106">
                  <c:v>0.8149815481750905</c:v>
                </c:pt>
                <c:pt idx="108">
                  <c:v>0.43468383794242982</c:v>
                </c:pt>
                <c:pt idx="109">
                  <c:v>0.79041780618109481</c:v>
                </c:pt>
                <c:pt idx="111">
                  <c:v>0.49071730142719616</c:v>
                </c:pt>
                <c:pt idx="112">
                  <c:v>0.76451213749977576</c:v>
                </c:pt>
                <c:pt idx="114">
                  <c:v>0.55014673239588774</c:v>
                </c:pt>
                <c:pt idx="115">
                  <c:v>0.73730852331157326</c:v>
                </c:pt>
                <c:pt idx="117">
                  <c:v>0.61297213084850455</c:v>
                </c:pt>
                <c:pt idx="118">
                  <c:v>0.70885314837546565</c:v>
                </c:pt>
                <c:pt idx="120">
                  <c:v>0.67919349678504659</c:v>
                </c:pt>
                <c:pt idx="121">
                  <c:v>0.67919432261909629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3-4075-9987-15503B6871B8}"/>
            </c:ext>
          </c:extLst>
        </c:ser>
        <c:ser>
          <c:idx val="1"/>
          <c:order val="1"/>
          <c:tx>
            <c:v>cos x</c:v>
          </c:tx>
          <c:spPr>
            <a:ln w="28575">
              <a:solidFill>
                <a:srgbClr val="2F5BD3"/>
              </a:solidFill>
              <a:prstDash val="solid"/>
            </a:ln>
          </c:spPr>
          <c:marker>
            <c:symbol val="none"/>
          </c:marker>
          <c:xVal>
            <c:numRef>
              <c:f>Wykres!$A$7:$A$59</c:f>
              <c:numCache>
                <c:formatCode>0.00</c:formatCode>
                <c:ptCount val="53"/>
                <c:pt idx="0">
                  <c:v>-1.3</c:v>
                </c:pt>
                <c:pt idx="1">
                  <c:v>-1.25</c:v>
                </c:pt>
                <c:pt idx="2">
                  <c:v>-1.2</c:v>
                </c:pt>
                <c:pt idx="3">
                  <c:v>-1.1499999999999999</c:v>
                </c:pt>
                <c:pt idx="4">
                  <c:v>-1.0999999999999999</c:v>
                </c:pt>
                <c:pt idx="5">
                  <c:v>-1.0499999999999998</c:v>
                </c:pt>
                <c:pt idx="6">
                  <c:v>-0.99999999999999978</c:v>
                </c:pt>
                <c:pt idx="7">
                  <c:v>-0.94999999999999973</c:v>
                </c:pt>
                <c:pt idx="8">
                  <c:v>-0.89999999999999969</c:v>
                </c:pt>
                <c:pt idx="9">
                  <c:v>-0.84999999999999964</c:v>
                </c:pt>
                <c:pt idx="10">
                  <c:v>-0.7999999999999996</c:v>
                </c:pt>
                <c:pt idx="11">
                  <c:v>-0.74999999999999956</c:v>
                </c:pt>
                <c:pt idx="12">
                  <c:v>-0.69999999999999951</c:v>
                </c:pt>
                <c:pt idx="13">
                  <c:v>-0.64999999999999947</c:v>
                </c:pt>
                <c:pt idx="14">
                  <c:v>-0.59999999999999942</c:v>
                </c:pt>
                <c:pt idx="15">
                  <c:v>-0.54999999999999938</c:v>
                </c:pt>
                <c:pt idx="16">
                  <c:v>-0.49999999999999939</c:v>
                </c:pt>
                <c:pt idx="17">
                  <c:v>-0.4499999999999994</c:v>
                </c:pt>
                <c:pt idx="18">
                  <c:v>-0.39999999999999941</c:v>
                </c:pt>
                <c:pt idx="19">
                  <c:v>-0.34999999999999942</c:v>
                </c:pt>
                <c:pt idx="20">
                  <c:v>-0.29999999999999943</c:v>
                </c:pt>
                <c:pt idx="21">
                  <c:v>-0.24999999999999944</c:v>
                </c:pt>
                <c:pt idx="22">
                  <c:v>-0.19999999999999946</c:v>
                </c:pt>
                <c:pt idx="23">
                  <c:v>-0.14999999999999947</c:v>
                </c:pt>
                <c:pt idx="24">
                  <c:v>-9.9999999999999464E-2</c:v>
                </c:pt>
                <c:pt idx="25">
                  <c:v>-4.9999999999999462E-2</c:v>
                </c:pt>
                <c:pt idx="26">
                  <c:v>5.4123372450476381E-16</c:v>
                </c:pt>
                <c:pt idx="27">
                  <c:v>5.0000000000000544E-2</c:v>
                </c:pt>
                <c:pt idx="28">
                  <c:v>0.10000000000000055</c:v>
                </c:pt>
                <c:pt idx="29">
                  <c:v>0.15000000000000055</c:v>
                </c:pt>
                <c:pt idx="30">
                  <c:v>0.20000000000000057</c:v>
                </c:pt>
                <c:pt idx="31">
                  <c:v>0.25000000000000056</c:v>
                </c:pt>
                <c:pt idx="32">
                  <c:v>0.30000000000000054</c:v>
                </c:pt>
                <c:pt idx="33">
                  <c:v>0.35000000000000053</c:v>
                </c:pt>
                <c:pt idx="34">
                  <c:v>0.40000000000000052</c:v>
                </c:pt>
                <c:pt idx="35">
                  <c:v>0.45000000000000051</c:v>
                </c:pt>
                <c:pt idx="36">
                  <c:v>0.50000000000000056</c:v>
                </c:pt>
                <c:pt idx="37">
                  <c:v>0.5500000000000006</c:v>
                </c:pt>
                <c:pt idx="38">
                  <c:v>0.60000000000000064</c:v>
                </c:pt>
                <c:pt idx="39">
                  <c:v>0.65000000000000069</c:v>
                </c:pt>
                <c:pt idx="40">
                  <c:v>0.70000000000000073</c:v>
                </c:pt>
                <c:pt idx="41">
                  <c:v>0.75000000000000078</c:v>
                </c:pt>
                <c:pt idx="42">
                  <c:v>0.80000000000000082</c:v>
                </c:pt>
                <c:pt idx="43">
                  <c:v>0.85000000000000087</c:v>
                </c:pt>
                <c:pt idx="44">
                  <c:v>0.90000000000000091</c:v>
                </c:pt>
                <c:pt idx="45">
                  <c:v>0.95000000000000095</c:v>
                </c:pt>
                <c:pt idx="46">
                  <c:v>1.0000000000000009</c:v>
                </c:pt>
                <c:pt idx="47">
                  <c:v>1.0500000000000009</c:v>
                </c:pt>
                <c:pt idx="48">
                  <c:v>1.100000000000001</c:v>
                </c:pt>
                <c:pt idx="49">
                  <c:v>1.150000000000001</c:v>
                </c:pt>
                <c:pt idx="50">
                  <c:v>1.2000000000000011</c:v>
                </c:pt>
                <c:pt idx="51">
                  <c:v>1.2500000000000011</c:v>
                </c:pt>
                <c:pt idx="52">
                  <c:v>1.3000000000000012</c:v>
                </c:pt>
              </c:numCache>
            </c:numRef>
          </c:xVal>
          <c:yVal>
            <c:numRef>
              <c:f>Wykres!$C$7:$C$59</c:f>
              <c:numCache>
                <c:formatCode>0.000</c:formatCode>
                <c:ptCount val="53"/>
                <c:pt idx="0">
                  <c:v>0.26749882862458735</c:v>
                </c:pt>
                <c:pt idx="1">
                  <c:v>0.31532236239526867</c:v>
                </c:pt>
                <c:pt idx="2">
                  <c:v>0.36235775447667362</c:v>
                </c:pt>
                <c:pt idx="3">
                  <c:v>0.40848744088415739</c:v>
                </c:pt>
                <c:pt idx="4">
                  <c:v>0.45359612142557748</c:v>
                </c:pt>
                <c:pt idx="5">
                  <c:v>0.49757104789172713</c:v>
                </c:pt>
                <c:pt idx="6">
                  <c:v>0.54030230586813988</c:v>
                </c:pt>
                <c:pt idx="7">
                  <c:v>0.5816830894638837</c:v>
                </c:pt>
                <c:pt idx="8">
                  <c:v>0.62160996827066473</c:v>
                </c:pt>
                <c:pt idx="9">
                  <c:v>0.65998314588498241</c:v>
                </c:pt>
                <c:pt idx="10">
                  <c:v>0.69670670934716572</c:v>
                </c:pt>
                <c:pt idx="11">
                  <c:v>0.73168886887382123</c:v>
                </c:pt>
                <c:pt idx="12">
                  <c:v>0.76484218728448872</c:v>
                </c:pt>
                <c:pt idx="13">
                  <c:v>0.7960837985490562</c:v>
                </c:pt>
                <c:pt idx="14">
                  <c:v>0.82533561490967866</c:v>
                </c:pt>
                <c:pt idx="15">
                  <c:v>0.85252452205950602</c:v>
                </c:pt>
                <c:pt idx="16">
                  <c:v>0.87758256189037298</c:v>
                </c:pt>
                <c:pt idx="17">
                  <c:v>0.90044710235267722</c:v>
                </c:pt>
                <c:pt idx="18">
                  <c:v>0.92106099400288532</c:v>
                </c:pt>
                <c:pt idx="19">
                  <c:v>0.93937271284737911</c:v>
                </c:pt>
                <c:pt idx="20">
                  <c:v>0.9553364891256062</c:v>
                </c:pt>
                <c:pt idx="21">
                  <c:v>0.96891242171064496</c:v>
                </c:pt>
                <c:pt idx="22">
                  <c:v>0.98006657784124174</c:v>
                </c:pt>
                <c:pt idx="23">
                  <c:v>0.98877107793604235</c:v>
                </c:pt>
                <c:pt idx="24">
                  <c:v>0.99500416527802582</c:v>
                </c:pt>
                <c:pt idx="25">
                  <c:v>0.99875026039496628</c:v>
                </c:pt>
                <c:pt idx="26">
                  <c:v>1</c:v>
                </c:pt>
                <c:pt idx="27">
                  <c:v>0.99875026039496617</c:v>
                </c:pt>
                <c:pt idx="28">
                  <c:v>0.99500416527802571</c:v>
                </c:pt>
                <c:pt idx="29">
                  <c:v>0.98877107793604224</c:v>
                </c:pt>
                <c:pt idx="30">
                  <c:v>0.98006657784124152</c:v>
                </c:pt>
                <c:pt idx="31">
                  <c:v>0.96891242171064462</c:v>
                </c:pt>
                <c:pt idx="32">
                  <c:v>0.95533648912560587</c:v>
                </c:pt>
                <c:pt idx="33">
                  <c:v>0.93937271284737878</c:v>
                </c:pt>
                <c:pt idx="34">
                  <c:v>0.92106099400288488</c:v>
                </c:pt>
                <c:pt idx="35">
                  <c:v>0.90044710235267666</c:v>
                </c:pt>
                <c:pt idx="36">
                  <c:v>0.87758256189037243</c:v>
                </c:pt>
                <c:pt idx="37">
                  <c:v>0.85252452205950546</c:v>
                </c:pt>
                <c:pt idx="38">
                  <c:v>0.82533561490967788</c:v>
                </c:pt>
                <c:pt idx="39">
                  <c:v>0.79608379854905542</c:v>
                </c:pt>
                <c:pt idx="40">
                  <c:v>0.76484218728448794</c:v>
                </c:pt>
                <c:pt idx="41">
                  <c:v>0.73168886887382034</c:v>
                </c:pt>
                <c:pt idx="42">
                  <c:v>0.69670670934716483</c:v>
                </c:pt>
                <c:pt idx="43">
                  <c:v>0.65998314588498153</c:v>
                </c:pt>
                <c:pt idx="44">
                  <c:v>0.62160996827066373</c:v>
                </c:pt>
                <c:pt idx="45">
                  <c:v>0.5816830894638827</c:v>
                </c:pt>
                <c:pt idx="46">
                  <c:v>0.54030230586813899</c:v>
                </c:pt>
                <c:pt idx="47">
                  <c:v>0.49757104789172618</c:v>
                </c:pt>
                <c:pt idx="48">
                  <c:v>0.45359612142557654</c:v>
                </c:pt>
                <c:pt idx="49">
                  <c:v>0.40848744088415634</c:v>
                </c:pt>
                <c:pt idx="50">
                  <c:v>0.36235775447667257</c:v>
                </c:pt>
                <c:pt idx="51">
                  <c:v>0.31532236239526762</c:v>
                </c:pt>
                <c:pt idx="52">
                  <c:v>0.26749882862458629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13-4075-9987-15503B6871B8}"/>
            </c:ext>
          </c:extLst>
        </c:ser>
        <c:ser>
          <c:idx val="2"/>
          <c:order val="2"/>
          <c:tx>
            <c:v>x^2</c:v>
          </c:tx>
          <c:spPr>
            <a:ln w="28575">
              <a:solidFill>
                <a:srgbClr val="111111"/>
              </a:solidFill>
              <a:prstDash val="solid"/>
            </a:ln>
          </c:spPr>
          <c:marker>
            <c:symbol val="none"/>
          </c:marker>
          <c:xVal>
            <c:numRef>
              <c:f>Wykres!$A$7:$A$59</c:f>
              <c:numCache>
                <c:formatCode>0.00</c:formatCode>
                <c:ptCount val="53"/>
                <c:pt idx="0">
                  <c:v>-1.3</c:v>
                </c:pt>
                <c:pt idx="1">
                  <c:v>-1.25</c:v>
                </c:pt>
                <c:pt idx="2">
                  <c:v>-1.2</c:v>
                </c:pt>
                <c:pt idx="3">
                  <c:v>-1.1499999999999999</c:v>
                </c:pt>
                <c:pt idx="4">
                  <c:v>-1.0999999999999999</c:v>
                </c:pt>
                <c:pt idx="5">
                  <c:v>-1.0499999999999998</c:v>
                </c:pt>
                <c:pt idx="6">
                  <c:v>-0.99999999999999978</c:v>
                </c:pt>
                <c:pt idx="7">
                  <c:v>-0.94999999999999973</c:v>
                </c:pt>
                <c:pt idx="8">
                  <c:v>-0.89999999999999969</c:v>
                </c:pt>
                <c:pt idx="9">
                  <c:v>-0.84999999999999964</c:v>
                </c:pt>
                <c:pt idx="10">
                  <c:v>-0.7999999999999996</c:v>
                </c:pt>
                <c:pt idx="11">
                  <c:v>-0.74999999999999956</c:v>
                </c:pt>
                <c:pt idx="12">
                  <c:v>-0.69999999999999951</c:v>
                </c:pt>
                <c:pt idx="13">
                  <c:v>-0.64999999999999947</c:v>
                </c:pt>
                <c:pt idx="14">
                  <c:v>-0.59999999999999942</c:v>
                </c:pt>
                <c:pt idx="15">
                  <c:v>-0.54999999999999938</c:v>
                </c:pt>
                <c:pt idx="16">
                  <c:v>-0.49999999999999939</c:v>
                </c:pt>
                <c:pt idx="17">
                  <c:v>-0.4499999999999994</c:v>
                </c:pt>
                <c:pt idx="18">
                  <c:v>-0.39999999999999941</c:v>
                </c:pt>
                <c:pt idx="19">
                  <c:v>-0.34999999999999942</c:v>
                </c:pt>
                <c:pt idx="20">
                  <c:v>-0.29999999999999943</c:v>
                </c:pt>
                <c:pt idx="21">
                  <c:v>-0.24999999999999944</c:v>
                </c:pt>
                <c:pt idx="22">
                  <c:v>-0.19999999999999946</c:v>
                </c:pt>
                <c:pt idx="23">
                  <c:v>-0.14999999999999947</c:v>
                </c:pt>
                <c:pt idx="24">
                  <c:v>-9.9999999999999464E-2</c:v>
                </c:pt>
                <c:pt idx="25">
                  <c:v>-4.9999999999999462E-2</c:v>
                </c:pt>
                <c:pt idx="26">
                  <c:v>5.4123372450476381E-16</c:v>
                </c:pt>
                <c:pt idx="27">
                  <c:v>5.0000000000000544E-2</c:v>
                </c:pt>
                <c:pt idx="28">
                  <c:v>0.10000000000000055</c:v>
                </c:pt>
                <c:pt idx="29">
                  <c:v>0.15000000000000055</c:v>
                </c:pt>
                <c:pt idx="30">
                  <c:v>0.20000000000000057</c:v>
                </c:pt>
                <c:pt idx="31">
                  <c:v>0.25000000000000056</c:v>
                </c:pt>
                <c:pt idx="32">
                  <c:v>0.30000000000000054</c:v>
                </c:pt>
                <c:pt idx="33">
                  <c:v>0.35000000000000053</c:v>
                </c:pt>
                <c:pt idx="34">
                  <c:v>0.40000000000000052</c:v>
                </c:pt>
                <c:pt idx="35">
                  <c:v>0.45000000000000051</c:v>
                </c:pt>
                <c:pt idx="36">
                  <c:v>0.50000000000000056</c:v>
                </c:pt>
                <c:pt idx="37">
                  <c:v>0.5500000000000006</c:v>
                </c:pt>
                <c:pt idx="38">
                  <c:v>0.60000000000000064</c:v>
                </c:pt>
                <c:pt idx="39">
                  <c:v>0.65000000000000069</c:v>
                </c:pt>
                <c:pt idx="40">
                  <c:v>0.70000000000000073</c:v>
                </c:pt>
                <c:pt idx="41">
                  <c:v>0.75000000000000078</c:v>
                </c:pt>
                <c:pt idx="42">
                  <c:v>0.80000000000000082</c:v>
                </c:pt>
                <c:pt idx="43">
                  <c:v>0.85000000000000087</c:v>
                </c:pt>
                <c:pt idx="44">
                  <c:v>0.90000000000000091</c:v>
                </c:pt>
                <c:pt idx="45">
                  <c:v>0.95000000000000095</c:v>
                </c:pt>
                <c:pt idx="46">
                  <c:v>1.0000000000000009</c:v>
                </c:pt>
                <c:pt idx="47">
                  <c:v>1.0500000000000009</c:v>
                </c:pt>
                <c:pt idx="48">
                  <c:v>1.100000000000001</c:v>
                </c:pt>
                <c:pt idx="49">
                  <c:v>1.150000000000001</c:v>
                </c:pt>
                <c:pt idx="50">
                  <c:v>1.2000000000000011</c:v>
                </c:pt>
                <c:pt idx="51">
                  <c:v>1.2500000000000011</c:v>
                </c:pt>
                <c:pt idx="52">
                  <c:v>1.3000000000000012</c:v>
                </c:pt>
              </c:numCache>
            </c:numRef>
          </c:xVal>
          <c:yVal>
            <c:numRef>
              <c:f>Wykres!$B$7:$B$59</c:f>
              <c:numCache>
                <c:formatCode>0.000</c:formatCode>
                <c:ptCount val="53"/>
                <c:pt idx="0">
                  <c:v>1.6900000000000002</c:v>
                </c:pt>
                <c:pt idx="1">
                  <c:v>1.5625</c:v>
                </c:pt>
                <c:pt idx="2">
                  <c:v>1.44</c:v>
                </c:pt>
                <c:pt idx="3">
                  <c:v>1.3224999999999998</c:v>
                </c:pt>
                <c:pt idx="4">
                  <c:v>1.2099999999999997</c:v>
                </c:pt>
                <c:pt idx="5">
                  <c:v>1.1024999999999996</c:v>
                </c:pt>
                <c:pt idx="6">
                  <c:v>0.99999999999999956</c:v>
                </c:pt>
                <c:pt idx="7">
                  <c:v>0.90249999999999952</c:v>
                </c:pt>
                <c:pt idx="8">
                  <c:v>0.80999999999999939</c:v>
                </c:pt>
                <c:pt idx="9">
                  <c:v>0.72249999999999936</c:v>
                </c:pt>
                <c:pt idx="10">
                  <c:v>0.63999999999999935</c:v>
                </c:pt>
                <c:pt idx="11">
                  <c:v>0.56249999999999933</c:v>
                </c:pt>
                <c:pt idx="12">
                  <c:v>0.48999999999999932</c:v>
                </c:pt>
                <c:pt idx="13">
                  <c:v>0.42249999999999932</c:v>
                </c:pt>
                <c:pt idx="14">
                  <c:v>0.35999999999999932</c:v>
                </c:pt>
                <c:pt idx="15">
                  <c:v>0.30249999999999932</c:v>
                </c:pt>
                <c:pt idx="16">
                  <c:v>0.24999999999999939</c:v>
                </c:pt>
                <c:pt idx="17">
                  <c:v>0.20249999999999946</c:v>
                </c:pt>
                <c:pt idx="18">
                  <c:v>0.15999999999999953</c:v>
                </c:pt>
                <c:pt idx="19">
                  <c:v>0.1224999999999996</c:v>
                </c:pt>
                <c:pt idx="20">
                  <c:v>8.9999999999999664E-2</c:v>
                </c:pt>
                <c:pt idx="21">
                  <c:v>6.2499999999999722E-2</c:v>
                </c:pt>
                <c:pt idx="22">
                  <c:v>3.9999999999999786E-2</c:v>
                </c:pt>
                <c:pt idx="23">
                  <c:v>2.249999999999984E-2</c:v>
                </c:pt>
                <c:pt idx="24">
                  <c:v>9.9999999999998927E-3</c:v>
                </c:pt>
                <c:pt idx="25">
                  <c:v>2.4999999999999463E-3</c:v>
                </c:pt>
                <c:pt idx="26">
                  <c:v>2.9293394454129857E-31</c:v>
                </c:pt>
                <c:pt idx="27">
                  <c:v>2.5000000000000543E-3</c:v>
                </c:pt>
                <c:pt idx="28">
                  <c:v>1.0000000000000109E-2</c:v>
                </c:pt>
                <c:pt idx="29">
                  <c:v>2.2500000000000166E-2</c:v>
                </c:pt>
                <c:pt idx="30">
                  <c:v>4.000000000000023E-2</c:v>
                </c:pt>
                <c:pt idx="31">
                  <c:v>6.2500000000000278E-2</c:v>
                </c:pt>
                <c:pt idx="32">
                  <c:v>9.000000000000033E-2</c:v>
                </c:pt>
                <c:pt idx="33">
                  <c:v>0.12250000000000037</c:v>
                </c:pt>
                <c:pt idx="34">
                  <c:v>0.16000000000000042</c:v>
                </c:pt>
                <c:pt idx="35">
                  <c:v>0.20250000000000046</c:v>
                </c:pt>
                <c:pt idx="36">
                  <c:v>0.25000000000000056</c:v>
                </c:pt>
                <c:pt idx="37">
                  <c:v>0.30250000000000066</c:v>
                </c:pt>
                <c:pt idx="38">
                  <c:v>0.36000000000000076</c:v>
                </c:pt>
                <c:pt idx="39">
                  <c:v>0.42250000000000087</c:v>
                </c:pt>
                <c:pt idx="40">
                  <c:v>0.49000000000000105</c:v>
                </c:pt>
                <c:pt idx="41">
                  <c:v>0.56250000000000111</c:v>
                </c:pt>
                <c:pt idx="42">
                  <c:v>0.64000000000000135</c:v>
                </c:pt>
                <c:pt idx="43">
                  <c:v>0.72250000000000147</c:v>
                </c:pt>
                <c:pt idx="44">
                  <c:v>0.81000000000000161</c:v>
                </c:pt>
                <c:pt idx="45">
                  <c:v>0.90250000000000186</c:v>
                </c:pt>
                <c:pt idx="46">
                  <c:v>1.0000000000000018</c:v>
                </c:pt>
                <c:pt idx="47">
                  <c:v>1.102500000000002</c:v>
                </c:pt>
                <c:pt idx="48">
                  <c:v>1.2100000000000022</c:v>
                </c:pt>
                <c:pt idx="49">
                  <c:v>1.3225000000000025</c:v>
                </c:pt>
                <c:pt idx="50">
                  <c:v>1.4400000000000026</c:v>
                </c:pt>
                <c:pt idx="51">
                  <c:v>1.5625000000000027</c:v>
                </c:pt>
                <c:pt idx="52">
                  <c:v>1.6900000000000031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13-4075-9987-15503B6871B8}"/>
            </c:ext>
          </c:extLst>
        </c:ser>
        <c:ser>
          <c:idx val="3"/>
          <c:order val="3"/>
          <c:tx>
            <c:v>punkty przecięcia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D9822B"/>
              </a:solidFill>
              <a:ln>
                <a:solidFill>
                  <a:srgbClr val="D9822B"/>
                </a:solidFill>
                <a:prstDash val="solid"/>
              </a:ln>
            </c:spPr>
          </c:marker>
          <c:xVal>
            <c:numRef>
              <c:f>Wykres!$H$7:$H$8</c:f>
              <c:numCache>
                <c:formatCode>0.000000</c:formatCode>
                <c:ptCount val="2"/>
                <c:pt idx="0">
                  <c:v>-0.82413196563720703</c:v>
                </c:pt>
                <c:pt idx="1">
                  <c:v>0.82413196563720703</c:v>
                </c:pt>
              </c:numCache>
            </c:numRef>
          </c:xVal>
          <c:yVal>
            <c:numRef>
              <c:f>Wykres!$I$7:$I$8</c:f>
              <c:numCache>
                <c:formatCode>0.000000</c:formatCode>
                <c:ptCount val="2"/>
                <c:pt idx="0">
                  <c:v>0.67919349678504659</c:v>
                </c:pt>
                <c:pt idx="1">
                  <c:v>0.67919349678504659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13-4075-9987-15503B68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.5"/>
          <c:min val="-1.5"/>
        </c:scaling>
        <c:delete val="0"/>
        <c:axPos val="b"/>
        <c:majorGridlines/>
        <c:numFmt formatCode="0.0" sourceLinked="0"/>
        <c:majorTickMark val="none"/>
        <c:minorTickMark val="none"/>
        <c:tickLblPos val="low"/>
        <c:crossAx val="20"/>
        <c:crosses val="autoZero"/>
        <c:crossBetween val="midCat"/>
        <c:majorUnit val="0.5"/>
      </c:valAx>
      <c:valAx>
        <c:axId val="20"/>
        <c:scaling>
          <c:orientation val="minMax"/>
          <c:max val="1.8"/>
          <c:min val="-0.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low"/>
        <c:crossAx val="10"/>
        <c:crosses val="autoZero"/>
        <c:crossBetween val="midCat"/>
        <c:majorUnit val="0.4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defaultRowHeight="15" x14ac:dyDescent="0.25"/>
  <cols>
    <col min="1" max="1" width="18" customWidth="1"/>
    <col min="2" max="7" width="12" customWidth="1"/>
    <col min="8" max="8" width="18" customWidth="1"/>
    <col min="9" max="9" width="10" customWidth="1"/>
  </cols>
  <sheetData>
    <row r="1" spans="1:9" ht="15.75" x14ac:dyDescent="0.25">
      <c r="A1" s="1" t="s">
        <v>0</v>
      </c>
    </row>
    <row r="3" spans="1:9" x14ac:dyDescent="0.25">
      <c r="A3" s="2" t="s">
        <v>1</v>
      </c>
      <c r="B3" s="3">
        <v>9.9999999999999995E-7</v>
      </c>
    </row>
    <row r="4" spans="1:9" x14ac:dyDescent="0.25">
      <c r="A4" s="2" t="s">
        <v>2</v>
      </c>
      <c r="B4" s="4">
        <v>0</v>
      </c>
    </row>
    <row r="5" spans="1:9" x14ac:dyDescent="0.25">
      <c r="A5" s="2" t="s">
        <v>3</v>
      </c>
      <c r="B5" s="4">
        <v>1</v>
      </c>
    </row>
    <row r="7" spans="1:9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9" x14ac:dyDescent="0.25">
      <c r="A8" s="4">
        <v>1</v>
      </c>
      <c r="B8" s="3">
        <f>B4</f>
        <v>0</v>
      </c>
      <c r="C8" s="3">
        <f>B5</f>
        <v>1</v>
      </c>
      <c r="D8" s="3">
        <f t="shared" ref="D8:D26" si="0">(B8+C8)/2</f>
        <v>0.5</v>
      </c>
      <c r="E8" s="3">
        <f t="shared" ref="E8:E26" si="1">COS(B8)-B8^2</f>
        <v>1</v>
      </c>
      <c r="F8" s="3">
        <f t="shared" ref="F8:F26" si="2">COS(C8)-C8^2</f>
        <v>-0.45969769413186023</v>
      </c>
      <c r="G8" s="3">
        <f t="shared" ref="G8:G26" si="3">COS(D8)-D8^2</f>
        <v>0.62758256189037276</v>
      </c>
      <c r="H8" s="6">
        <f t="shared" ref="H8:H26" si="4">(C8-B8)/2</f>
        <v>0.5</v>
      </c>
      <c r="I8" s="4" t="str">
        <f t="shared" ref="I8:I26" si="5">IF(H8&lt;$B$3,"tak","nie")</f>
        <v>nie</v>
      </c>
    </row>
    <row r="9" spans="1:9" x14ac:dyDescent="0.25">
      <c r="A9" s="4">
        <f t="shared" ref="A9:A26" si="6">A8+1</f>
        <v>2</v>
      </c>
      <c r="B9" s="3">
        <f t="shared" ref="B9:B26" si="7">IF(E8*G8&lt;0,B8,D8)</f>
        <v>0.5</v>
      </c>
      <c r="C9" s="3">
        <f t="shared" ref="C9:C26" si="8">IF(E8*G8&lt;0,D8,C8)</f>
        <v>1</v>
      </c>
      <c r="D9" s="3">
        <f t="shared" si="0"/>
        <v>0.75</v>
      </c>
      <c r="E9" s="3">
        <f t="shared" si="1"/>
        <v>0.62758256189037276</v>
      </c>
      <c r="F9" s="3">
        <f t="shared" si="2"/>
        <v>-0.45969769413186023</v>
      </c>
      <c r="G9" s="3">
        <f t="shared" si="3"/>
        <v>0.1691888688738209</v>
      </c>
      <c r="H9" s="6">
        <f t="shared" si="4"/>
        <v>0.25</v>
      </c>
      <c r="I9" s="4" t="str">
        <f t="shared" si="5"/>
        <v>nie</v>
      </c>
    </row>
    <row r="10" spans="1:9" x14ac:dyDescent="0.25">
      <c r="A10" s="4">
        <f t="shared" si="6"/>
        <v>3</v>
      </c>
      <c r="B10" s="3">
        <f t="shared" si="7"/>
        <v>0.75</v>
      </c>
      <c r="C10" s="3">
        <f t="shared" si="8"/>
        <v>1</v>
      </c>
      <c r="D10" s="3">
        <f t="shared" si="0"/>
        <v>0.875</v>
      </c>
      <c r="E10" s="3">
        <f t="shared" si="1"/>
        <v>0.1691888688738209</v>
      </c>
      <c r="F10" s="3">
        <f t="shared" si="2"/>
        <v>-0.45969769413186023</v>
      </c>
      <c r="G10" s="3">
        <f t="shared" si="3"/>
        <v>-0.12462814183667492</v>
      </c>
      <c r="H10" s="6">
        <f t="shared" si="4"/>
        <v>0.125</v>
      </c>
      <c r="I10" s="4" t="str">
        <f t="shared" si="5"/>
        <v>nie</v>
      </c>
    </row>
    <row r="11" spans="1:9" x14ac:dyDescent="0.25">
      <c r="A11" s="4">
        <f t="shared" si="6"/>
        <v>4</v>
      </c>
      <c r="B11" s="3">
        <f t="shared" si="7"/>
        <v>0.75</v>
      </c>
      <c r="C11" s="3">
        <f t="shared" si="8"/>
        <v>0.875</v>
      </c>
      <c r="D11" s="3">
        <f t="shared" si="0"/>
        <v>0.8125</v>
      </c>
      <c r="E11" s="3">
        <f t="shared" si="1"/>
        <v>0.1691888688738209</v>
      </c>
      <c r="F11" s="3">
        <f t="shared" si="2"/>
        <v>-0.12462814183667492</v>
      </c>
      <c r="G11" s="3">
        <f t="shared" si="3"/>
        <v>2.7529312220504809E-2</v>
      </c>
      <c r="H11" s="6">
        <f t="shared" si="4"/>
        <v>6.25E-2</v>
      </c>
      <c r="I11" s="4" t="str">
        <f t="shared" si="5"/>
        <v>nie</v>
      </c>
    </row>
    <row r="12" spans="1:9" x14ac:dyDescent="0.25">
      <c r="A12" s="4">
        <f t="shared" si="6"/>
        <v>5</v>
      </c>
      <c r="B12" s="3">
        <f t="shared" si="7"/>
        <v>0.8125</v>
      </c>
      <c r="C12" s="3">
        <f t="shared" si="8"/>
        <v>0.875</v>
      </c>
      <c r="D12" s="3">
        <f t="shared" si="0"/>
        <v>0.84375</v>
      </c>
      <c r="E12" s="3">
        <f t="shared" si="1"/>
        <v>2.7529312220504809E-2</v>
      </c>
      <c r="F12" s="3">
        <f t="shared" si="2"/>
        <v>-0.12462814183667492</v>
      </c>
      <c r="G12" s="3">
        <f t="shared" si="3"/>
        <v>-4.7248334906366707E-2</v>
      </c>
      <c r="H12" s="6">
        <f t="shared" si="4"/>
        <v>3.125E-2</v>
      </c>
      <c r="I12" s="4" t="str">
        <f t="shared" si="5"/>
        <v>nie</v>
      </c>
    </row>
    <row r="13" spans="1:9" x14ac:dyDescent="0.25">
      <c r="A13" s="4">
        <f t="shared" si="6"/>
        <v>6</v>
      </c>
      <c r="B13" s="3">
        <f t="shared" si="7"/>
        <v>0.8125</v>
      </c>
      <c r="C13" s="3">
        <f t="shared" si="8"/>
        <v>0.84375</v>
      </c>
      <c r="D13" s="3">
        <f t="shared" si="0"/>
        <v>0.828125</v>
      </c>
      <c r="E13" s="3">
        <f t="shared" si="1"/>
        <v>2.7529312220504809E-2</v>
      </c>
      <c r="F13" s="3">
        <f t="shared" si="2"/>
        <v>-4.7248334906366707E-2</v>
      </c>
      <c r="G13" s="3">
        <f t="shared" si="3"/>
        <v>-9.5328213483166779E-3</v>
      </c>
      <c r="H13" s="6">
        <f t="shared" si="4"/>
        <v>1.5625E-2</v>
      </c>
      <c r="I13" s="4" t="str">
        <f t="shared" si="5"/>
        <v>nie</v>
      </c>
    </row>
    <row r="14" spans="1:9" x14ac:dyDescent="0.25">
      <c r="A14" s="4">
        <f t="shared" si="6"/>
        <v>7</v>
      </c>
      <c r="B14" s="3">
        <f t="shared" si="7"/>
        <v>0.8125</v>
      </c>
      <c r="C14" s="3">
        <f t="shared" si="8"/>
        <v>0.828125</v>
      </c>
      <c r="D14" s="3">
        <f t="shared" si="0"/>
        <v>0.8203125</v>
      </c>
      <c r="E14" s="3">
        <f t="shared" si="1"/>
        <v>2.7529312220504809E-2</v>
      </c>
      <c r="F14" s="3">
        <f t="shared" si="2"/>
        <v>-9.5328213483166779E-3</v>
      </c>
      <c r="G14" s="3">
        <f t="shared" si="3"/>
        <v>9.0800932517105526E-3</v>
      </c>
      <c r="H14" s="6">
        <f t="shared" si="4"/>
        <v>7.8125E-3</v>
      </c>
      <c r="I14" s="4" t="str">
        <f t="shared" si="5"/>
        <v>nie</v>
      </c>
    </row>
    <row r="15" spans="1:9" x14ac:dyDescent="0.25">
      <c r="A15" s="4">
        <f t="shared" si="6"/>
        <v>8</v>
      </c>
      <c r="B15" s="3">
        <f t="shared" si="7"/>
        <v>0.8203125</v>
      </c>
      <c r="C15" s="3">
        <f t="shared" si="8"/>
        <v>0.828125</v>
      </c>
      <c r="D15" s="3">
        <f t="shared" si="0"/>
        <v>0.82421875</v>
      </c>
      <c r="E15" s="3">
        <f t="shared" si="1"/>
        <v>9.0800932517105526E-3</v>
      </c>
      <c r="F15" s="3">
        <f t="shared" si="2"/>
        <v>-9.5328213483166779E-3</v>
      </c>
      <c r="G15" s="3">
        <f t="shared" si="3"/>
        <v>-2.0592391036067248E-4</v>
      </c>
      <c r="H15" s="6">
        <f t="shared" si="4"/>
        <v>3.90625E-3</v>
      </c>
      <c r="I15" s="4" t="str">
        <f t="shared" si="5"/>
        <v>nie</v>
      </c>
    </row>
    <row r="16" spans="1:9" x14ac:dyDescent="0.25">
      <c r="A16" s="4">
        <f t="shared" si="6"/>
        <v>9</v>
      </c>
      <c r="B16" s="3">
        <f t="shared" si="7"/>
        <v>0.8203125</v>
      </c>
      <c r="C16" s="3">
        <f t="shared" si="8"/>
        <v>0.82421875</v>
      </c>
      <c r="D16" s="3">
        <f t="shared" si="0"/>
        <v>0.822265625</v>
      </c>
      <c r="E16" s="3">
        <f t="shared" si="1"/>
        <v>9.0800932517105526E-3</v>
      </c>
      <c r="F16" s="3">
        <f t="shared" si="2"/>
        <v>-2.0592391036067248E-4</v>
      </c>
      <c r="G16" s="3">
        <f t="shared" si="3"/>
        <v>4.4421974383506146E-3</v>
      </c>
      <c r="H16" s="6">
        <f t="shared" si="4"/>
        <v>1.953125E-3</v>
      </c>
      <c r="I16" s="4" t="str">
        <f t="shared" si="5"/>
        <v>nie</v>
      </c>
    </row>
    <row r="17" spans="1:9" x14ac:dyDescent="0.25">
      <c r="A17" s="4">
        <f t="shared" si="6"/>
        <v>10</v>
      </c>
      <c r="B17" s="3">
        <f t="shared" si="7"/>
        <v>0.822265625</v>
      </c>
      <c r="C17" s="3">
        <f t="shared" si="8"/>
        <v>0.82421875</v>
      </c>
      <c r="D17" s="3">
        <f t="shared" si="0"/>
        <v>0.8232421875</v>
      </c>
      <c r="E17" s="3">
        <f t="shared" si="1"/>
        <v>4.4421974383506146E-3</v>
      </c>
      <c r="F17" s="3">
        <f t="shared" si="2"/>
        <v>-2.0592391036067248E-4</v>
      </c>
      <c r="G17" s="3">
        <f t="shared" si="3"/>
        <v>2.1194146146514825E-3</v>
      </c>
      <c r="H17" s="6">
        <f t="shared" si="4"/>
        <v>9.765625E-4</v>
      </c>
      <c r="I17" s="4" t="str">
        <f t="shared" si="5"/>
        <v>nie</v>
      </c>
    </row>
    <row r="18" spans="1:9" x14ac:dyDescent="0.25">
      <c r="A18" s="4">
        <f t="shared" si="6"/>
        <v>11</v>
      </c>
      <c r="B18" s="3">
        <f t="shared" si="7"/>
        <v>0.8232421875</v>
      </c>
      <c r="C18" s="3">
        <f t="shared" si="8"/>
        <v>0.82421875</v>
      </c>
      <c r="D18" s="3">
        <f t="shared" si="0"/>
        <v>0.82373046875</v>
      </c>
      <c r="E18" s="3">
        <f t="shared" si="1"/>
        <v>2.1194146146514825E-3</v>
      </c>
      <c r="F18" s="3">
        <f t="shared" si="2"/>
        <v>-2.0592391036067248E-4</v>
      </c>
      <c r="G18" s="3">
        <f t="shared" si="3"/>
        <v>9.5706477211787711E-4</v>
      </c>
      <c r="H18" s="6">
        <f t="shared" si="4"/>
        <v>4.8828125E-4</v>
      </c>
      <c r="I18" s="4" t="str">
        <f t="shared" si="5"/>
        <v>nie</v>
      </c>
    </row>
    <row r="19" spans="1:9" x14ac:dyDescent="0.25">
      <c r="A19" s="4">
        <f t="shared" si="6"/>
        <v>12</v>
      </c>
      <c r="B19" s="3">
        <f t="shared" si="7"/>
        <v>0.82373046875</v>
      </c>
      <c r="C19" s="3">
        <f t="shared" si="8"/>
        <v>0.82421875</v>
      </c>
      <c r="D19" s="3">
        <f t="shared" si="0"/>
        <v>0.823974609375</v>
      </c>
      <c r="E19" s="3">
        <f t="shared" si="1"/>
        <v>9.5706477211787711E-4</v>
      </c>
      <c r="F19" s="3">
        <f t="shared" si="2"/>
        <v>-2.0592391036067248E-4</v>
      </c>
      <c r="G19" s="3">
        <f t="shared" si="3"/>
        <v>3.756502805331019E-4</v>
      </c>
      <c r="H19" s="6">
        <f t="shared" si="4"/>
        <v>2.44140625E-4</v>
      </c>
      <c r="I19" s="4" t="str">
        <f t="shared" si="5"/>
        <v>nie</v>
      </c>
    </row>
    <row r="20" spans="1:9" x14ac:dyDescent="0.25">
      <c r="A20" s="4">
        <f t="shared" si="6"/>
        <v>13</v>
      </c>
      <c r="B20" s="3">
        <f t="shared" si="7"/>
        <v>0.823974609375</v>
      </c>
      <c r="C20" s="3">
        <f t="shared" si="8"/>
        <v>0.82421875</v>
      </c>
      <c r="D20" s="3">
        <f t="shared" si="0"/>
        <v>0.8240966796875</v>
      </c>
      <c r="E20" s="3">
        <f t="shared" si="1"/>
        <v>3.756502805331019E-4</v>
      </c>
      <c r="F20" s="3">
        <f t="shared" si="2"/>
        <v>-2.0592391036067248E-4</v>
      </c>
      <c r="G20" s="3">
        <f t="shared" si="3"/>
        <v>8.4883146832415157E-5</v>
      </c>
      <c r="H20" s="6">
        <f t="shared" si="4"/>
        <v>1.220703125E-4</v>
      </c>
      <c r="I20" s="4" t="str">
        <f t="shared" si="5"/>
        <v>nie</v>
      </c>
    </row>
    <row r="21" spans="1:9" x14ac:dyDescent="0.25">
      <c r="A21" s="4">
        <f t="shared" si="6"/>
        <v>14</v>
      </c>
      <c r="B21" s="3">
        <f t="shared" si="7"/>
        <v>0.8240966796875</v>
      </c>
      <c r="C21" s="3">
        <f t="shared" si="8"/>
        <v>0.82421875</v>
      </c>
      <c r="D21" s="3">
        <f t="shared" si="0"/>
        <v>0.82415771484375</v>
      </c>
      <c r="E21" s="3">
        <f t="shared" si="1"/>
        <v>8.4883146832415157E-5</v>
      </c>
      <c r="F21" s="3">
        <f t="shared" si="2"/>
        <v>-2.0592391036067248E-4</v>
      </c>
      <c r="G21" s="3">
        <f t="shared" si="3"/>
        <v>-6.0515391411053443E-5</v>
      </c>
      <c r="H21" s="6">
        <f t="shared" si="4"/>
        <v>6.103515625E-5</v>
      </c>
      <c r="I21" s="4" t="str">
        <f t="shared" si="5"/>
        <v>nie</v>
      </c>
    </row>
    <row r="22" spans="1:9" x14ac:dyDescent="0.25">
      <c r="A22" s="4">
        <f t="shared" si="6"/>
        <v>15</v>
      </c>
      <c r="B22" s="3">
        <f t="shared" si="7"/>
        <v>0.8240966796875</v>
      </c>
      <c r="C22" s="3">
        <f t="shared" si="8"/>
        <v>0.82415771484375</v>
      </c>
      <c r="D22" s="3">
        <f t="shared" si="0"/>
        <v>0.824127197265625</v>
      </c>
      <c r="E22" s="3">
        <f t="shared" si="1"/>
        <v>8.4883146832415157E-5</v>
      </c>
      <c r="F22" s="3">
        <f t="shared" si="2"/>
        <v>-6.0515391411053443E-5</v>
      </c>
      <c r="G22" s="3">
        <f t="shared" si="3"/>
        <v>1.2185125309427391E-5</v>
      </c>
      <c r="H22" s="6">
        <f t="shared" si="4"/>
        <v>3.0517578125E-5</v>
      </c>
      <c r="I22" s="4" t="str">
        <f t="shared" si="5"/>
        <v>nie</v>
      </c>
    </row>
    <row r="23" spans="1:9" x14ac:dyDescent="0.25">
      <c r="A23" s="4">
        <f t="shared" si="6"/>
        <v>16</v>
      </c>
      <c r="B23" s="3">
        <f t="shared" si="7"/>
        <v>0.824127197265625</v>
      </c>
      <c r="C23" s="3">
        <f t="shared" si="8"/>
        <v>0.82415771484375</v>
      </c>
      <c r="D23" s="3">
        <f t="shared" si="0"/>
        <v>0.8241424560546875</v>
      </c>
      <c r="E23" s="3">
        <f t="shared" si="1"/>
        <v>1.2185125309427391E-5</v>
      </c>
      <c r="F23" s="3">
        <f t="shared" si="2"/>
        <v>-6.0515391411053443E-5</v>
      </c>
      <c r="G23" s="3">
        <f t="shared" si="3"/>
        <v>-2.4164821152417026E-5</v>
      </c>
      <c r="H23" s="6">
        <f t="shared" si="4"/>
        <v>1.52587890625E-5</v>
      </c>
      <c r="I23" s="4" t="str">
        <f t="shared" si="5"/>
        <v>nie</v>
      </c>
    </row>
    <row r="24" spans="1:9" x14ac:dyDescent="0.25">
      <c r="A24" s="4">
        <f t="shared" si="6"/>
        <v>17</v>
      </c>
      <c r="B24" s="3">
        <f t="shared" si="7"/>
        <v>0.824127197265625</v>
      </c>
      <c r="C24" s="3">
        <f t="shared" si="8"/>
        <v>0.8241424560546875</v>
      </c>
      <c r="D24" s="3">
        <f t="shared" si="0"/>
        <v>0.82413482666015625</v>
      </c>
      <c r="E24" s="3">
        <f t="shared" si="1"/>
        <v>1.2185125309427391E-5</v>
      </c>
      <c r="F24" s="3">
        <f t="shared" si="2"/>
        <v>-2.4164821152417026E-5</v>
      </c>
      <c r="G24" s="3">
        <f t="shared" si="3"/>
        <v>-5.9897699467015286E-6</v>
      </c>
      <c r="H24" s="6">
        <f t="shared" si="4"/>
        <v>7.62939453125E-6</v>
      </c>
      <c r="I24" s="4" t="str">
        <f t="shared" si="5"/>
        <v>nie</v>
      </c>
    </row>
    <row r="25" spans="1:9" x14ac:dyDescent="0.25">
      <c r="A25" s="4">
        <f t="shared" si="6"/>
        <v>18</v>
      </c>
      <c r="B25" s="3">
        <f t="shared" si="7"/>
        <v>0.824127197265625</v>
      </c>
      <c r="C25" s="3">
        <f t="shared" si="8"/>
        <v>0.82413482666015625</v>
      </c>
      <c r="D25" s="3">
        <f t="shared" si="0"/>
        <v>0.82413101196289063</v>
      </c>
      <c r="E25" s="3">
        <f t="shared" si="1"/>
        <v>1.2185125309427391E-5</v>
      </c>
      <c r="F25" s="3">
        <f t="shared" si="2"/>
        <v>-5.9897699467015286E-6</v>
      </c>
      <c r="G25" s="3">
        <f t="shared" si="3"/>
        <v>3.0976971749918647E-6</v>
      </c>
      <c r="H25" s="6">
        <f t="shared" si="4"/>
        <v>3.814697265625E-6</v>
      </c>
      <c r="I25" s="4" t="str">
        <f t="shared" si="5"/>
        <v>nie</v>
      </c>
    </row>
    <row r="26" spans="1:9" x14ac:dyDescent="0.25">
      <c r="A26" s="4">
        <f t="shared" si="6"/>
        <v>19</v>
      </c>
      <c r="B26" s="3">
        <f t="shared" si="7"/>
        <v>0.82413101196289063</v>
      </c>
      <c r="C26" s="3">
        <f t="shared" si="8"/>
        <v>0.82413482666015625</v>
      </c>
      <c r="D26" s="3">
        <f t="shared" si="0"/>
        <v>0.82413291931152344</v>
      </c>
      <c r="E26" s="3">
        <f t="shared" si="1"/>
        <v>3.0976971749918647E-6</v>
      </c>
      <c r="F26" s="3">
        <f t="shared" si="2"/>
        <v>-5.9897699467015286E-6</v>
      </c>
      <c r="G26" s="3">
        <f t="shared" si="3"/>
        <v>-1.4460315124198431E-6</v>
      </c>
      <c r="H26" s="6">
        <f t="shared" si="4"/>
        <v>1.9073486328125E-6</v>
      </c>
      <c r="I26" s="4" t="str">
        <f t="shared" si="5"/>
        <v>nie</v>
      </c>
    </row>
    <row r="28" spans="1:9" x14ac:dyDescent="0.25">
      <c r="A28" s="2" t="s">
        <v>13</v>
      </c>
      <c r="B28" s="3">
        <f>IF(E26*G26&lt;0,B26,D26)</f>
        <v>0.82413101196289063</v>
      </c>
      <c r="C28" s="3">
        <f>IF(E26*G26&lt;0,D26,C26)</f>
        <v>0.82413291931152344</v>
      </c>
      <c r="H28" s="6">
        <f>(C28-B28)/2</f>
        <v>9.5367431640625E-7</v>
      </c>
      <c r="I28" s="4" t="str">
        <f>IF(H28&lt;$B$3,"tak","nie")</f>
        <v>tak</v>
      </c>
    </row>
    <row r="30" spans="1:9" x14ac:dyDescent="0.25">
      <c r="A30" s="2" t="s">
        <v>14</v>
      </c>
      <c r="B30" s="7">
        <f>(B28+C28)/2</f>
        <v>0.82413196563720703</v>
      </c>
    </row>
    <row r="31" spans="1:9" x14ac:dyDescent="0.25">
      <c r="A31" s="2" t="s">
        <v>15</v>
      </c>
      <c r="B31" s="3">
        <f>-B30</f>
        <v>-0.82413196563720703</v>
      </c>
    </row>
    <row r="32" spans="1:9" x14ac:dyDescent="0.25">
      <c r="A32" s="2" t="s">
        <v>16</v>
      </c>
      <c r="B32" s="4">
        <f>COUNTIF(I8:I26,"nie")</f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5" x14ac:dyDescent="0.25"/>
  <cols>
    <col min="1" max="1" width="20" customWidth="1"/>
    <col min="2" max="3" width="12" customWidth="1"/>
    <col min="4" max="5" width="14" customWidth="1"/>
    <col min="6" max="7" width="12" customWidth="1"/>
  </cols>
  <sheetData>
    <row r="1" spans="1:7" ht="15.75" x14ac:dyDescent="0.25">
      <c r="A1" s="1" t="s">
        <v>17</v>
      </c>
    </row>
    <row r="3" spans="1:7" x14ac:dyDescent="0.25">
      <c r="A3" s="2" t="s">
        <v>2</v>
      </c>
      <c r="B3" s="3">
        <f>-Bisekcja!B30</f>
        <v>-0.82413196563720703</v>
      </c>
    </row>
    <row r="4" spans="1:7" x14ac:dyDescent="0.25">
      <c r="A4" s="2" t="s">
        <v>3</v>
      </c>
      <c r="B4" s="3">
        <f>Bisekcja!B30</f>
        <v>0.82413196563720703</v>
      </c>
    </row>
    <row r="5" spans="1:7" x14ac:dyDescent="0.25">
      <c r="A5" s="2" t="s">
        <v>18</v>
      </c>
      <c r="B5" s="8">
        <v>10</v>
      </c>
    </row>
    <row r="6" spans="1:7" x14ac:dyDescent="0.25">
      <c r="A6" s="2" t="s">
        <v>4</v>
      </c>
      <c r="B6" s="3">
        <f>(B4-B3)/B5</f>
        <v>0.16482639312744141</v>
      </c>
    </row>
    <row r="8" spans="1:7" x14ac:dyDescent="0.25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</row>
    <row r="9" spans="1:7" x14ac:dyDescent="0.25">
      <c r="A9" s="4">
        <v>0</v>
      </c>
      <c r="B9" s="3">
        <f>B3</f>
        <v>-0.82413196563720703</v>
      </c>
      <c r="C9" s="3">
        <f t="shared" ref="C9:C19" si="0">COS(B9)-B9^2</f>
        <v>8.2583404970026919E-7</v>
      </c>
      <c r="D9" s="4">
        <f t="shared" ref="D9:D19" si="1">IF(OR(A9=0,A9=$B$5),0.5,1)</f>
        <v>0.5</v>
      </c>
      <c r="E9" s="4">
        <f t="shared" ref="E9:E19" si="2">IF(OR(A9=0,A9=$B$5),1,IF(MOD(A9,2)=1,4,2))</f>
        <v>1</v>
      </c>
      <c r="F9" s="3">
        <f t="shared" ref="F9:F19" si="3">C9*D9</f>
        <v>4.129170248501346E-7</v>
      </c>
      <c r="G9" s="3">
        <f t="shared" ref="G9:G19" si="4">C9*E9</f>
        <v>8.2583404970026919E-7</v>
      </c>
    </row>
    <row r="10" spans="1:7" x14ac:dyDescent="0.25">
      <c r="A10" s="4">
        <f t="shared" ref="A10:A19" si="5">A9+1</f>
        <v>1</v>
      </c>
      <c r="B10" s="3">
        <f t="shared" ref="B10:B19" si="6">B9+$B$6</f>
        <v>-0.65930557250976563</v>
      </c>
      <c r="C10" s="3">
        <f t="shared" si="0"/>
        <v>0.35573396823866499</v>
      </c>
      <c r="D10" s="4">
        <f t="shared" si="1"/>
        <v>1</v>
      </c>
      <c r="E10" s="4">
        <f t="shared" si="2"/>
        <v>4</v>
      </c>
      <c r="F10" s="3">
        <f t="shared" si="3"/>
        <v>0.35573396823866499</v>
      </c>
      <c r="G10" s="3">
        <f t="shared" si="4"/>
        <v>1.42293587295466</v>
      </c>
    </row>
    <row r="11" spans="1:7" x14ac:dyDescent="0.25">
      <c r="A11" s="4">
        <f t="shared" si="5"/>
        <v>2</v>
      </c>
      <c r="B11" s="3">
        <f t="shared" si="6"/>
        <v>-0.49447917938232422</v>
      </c>
      <c r="C11" s="3">
        <f t="shared" si="0"/>
        <v>0.63570633791286846</v>
      </c>
      <c r="D11" s="4">
        <f t="shared" si="1"/>
        <v>1</v>
      </c>
      <c r="E11" s="4">
        <f t="shared" si="2"/>
        <v>2</v>
      </c>
      <c r="F11" s="3">
        <f t="shared" si="3"/>
        <v>0.63570633791286846</v>
      </c>
      <c r="G11" s="3">
        <f t="shared" si="4"/>
        <v>1.2714126758257369</v>
      </c>
    </row>
    <row r="12" spans="1:7" x14ac:dyDescent="0.25">
      <c r="A12" s="4">
        <f t="shared" si="5"/>
        <v>3</v>
      </c>
      <c r="B12" s="3">
        <f t="shared" si="6"/>
        <v>-0.32965278625488281</v>
      </c>
      <c r="C12" s="3">
        <f t="shared" si="0"/>
        <v>0.83748383920779212</v>
      </c>
      <c r="D12" s="4">
        <f t="shared" si="1"/>
        <v>1</v>
      </c>
      <c r="E12" s="4">
        <f t="shared" si="2"/>
        <v>4</v>
      </c>
      <c r="F12" s="3">
        <f t="shared" si="3"/>
        <v>0.83748383920779212</v>
      </c>
      <c r="G12" s="3">
        <f t="shared" si="4"/>
        <v>3.3499353568311685</v>
      </c>
    </row>
    <row r="13" spans="1:7" x14ac:dyDescent="0.25">
      <c r="A13" s="4">
        <f t="shared" si="5"/>
        <v>4</v>
      </c>
      <c r="B13" s="3">
        <f t="shared" si="6"/>
        <v>-0.16482639312744141</v>
      </c>
      <c r="C13" s="3">
        <f t="shared" si="0"/>
        <v>0.95927911594329418</v>
      </c>
      <c r="D13" s="4">
        <f t="shared" si="1"/>
        <v>1</v>
      </c>
      <c r="E13" s="4">
        <f t="shared" si="2"/>
        <v>2</v>
      </c>
      <c r="F13" s="3">
        <f t="shared" si="3"/>
        <v>0.95927911594329418</v>
      </c>
      <c r="G13" s="3">
        <f t="shared" si="4"/>
        <v>1.9185582318865884</v>
      </c>
    </row>
    <row r="14" spans="1:7" x14ac:dyDescent="0.25">
      <c r="A14" s="4">
        <f t="shared" si="5"/>
        <v>5</v>
      </c>
      <c r="B14" s="3">
        <f t="shared" si="6"/>
        <v>0</v>
      </c>
      <c r="C14" s="3">
        <f t="shared" si="0"/>
        <v>1</v>
      </c>
      <c r="D14" s="4">
        <f t="shared" si="1"/>
        <v>1</v>
      </c>
      <c r="E14" s="4">
        <f t="shared" si="2"/>
        <v>4</v>
      </c>
      <c r="F14" s="3">
        <f t="shared" si="3"/>
        <v>1</v>
      </c>
      <c r="G14" s="3">
        <f t="shared" si="4"/>
        <v>4</v>
      </c>
    </row>
    <row r="15" spans="1:7" x14ac:dyDescent="0.25">
      <c r="A15" s="4">
        <f t="shared" si="5"/>
        <v>6</v>
      </c>
      <c r="B15" s="3">
        <f t="shared" si="6"/>
        <v>0.16482639312744141</v>
      </c>
      <c r="C15" s="3">
        <f t="shared" si="0"/>
        <v>0.95927911594329418</v>
      </c>
      <c r="D15" s="4">
        <f t="shared" si="1"/>
        <v>1</v>
      </c>
      <c r="E15" s="4">
        <f t="shared" si="2"/>
        <v>2</v>
      </c>
      <c r="F15" s="3">
        <f t="shared" si="3"/>
        <v>0.95927911594329418</v>
      </c>
      <c r="G15" s="3">
        <f t="shared" si="4"/>
        <v>1.9185582318865884</v>
      </c>
    </row>
    <row r="16" spans="1:7" x14ac:dyDescent="0.25">
      <c r="A16" s="4">
        <f t="shared" si="5"/>
        <v>7</v>
      </c>
      <c r="B16" s="3">
        <f t="shared" si="6"/>
        <v>0.32965278625488281</v>
      </c>
      <c r="C16" s="3">
        <f t="shared" si="0"/>
        <v>0.83748383920779212</v>
      </c>
      <c r="D16" s="4">
        <f t="shared" si="1"/>
        <v>1</v>
      </c>
      <c r="E16" s="4">
        <f t="shared" si="2"/>
        <v>4</v>
      </c>
      <c r="F16" s="3">
        <f t="shared" si="3"/>
        <v>0.83748383920779212</v>
      </c>
      <c r="G16" s="3">
        <f t="shared" si="4"/>
        <v>3.3499353568311685</v>
      </c>
    </row>
    <row r="17" spans="1:7" x14ac:dyDescent="0.25">
      <c r="A17" s="4">
        <f t="shared" si="5"/>
        <v>8</v>
      </c>
      <c r="B17" s="3">
        <f t="shared" si="6"/>
        <v>0.49447917938232422</v>
      </c>
      <c r="C17" s="3">
        <f t="shared" si="0"/>
        <v>0.63570633791286846</v>
      </c>
      <c r="D17" s="4">
        <f t="shared" si="1"/>
        <v>1</v>
      </c>
      <c r="E17" s="4">
        <f t="shared" si="2"/>
        <v>2</v>
      </c>
      <c r="F17" s="3">
        <f t="shared" si="3"/>
        <v>0.63570633791286846</v>
      </c>
      <c r="G17" s="3">
        <f t="shared" si="4"/>
        <v>1.2714126758257369</v>
      </c>
    </row>
    <row r="18" spans="1:7" x14ac:dyDescent="0.25">
      <c r="A18" s="4">
        <f t="shared" si="5"/>
        <v>9</v>
      </c>
      <c r="B18" s="3">
        <f t="shared" si="6"/>
        <v>0.65930557250976563</v>
      </c>
      <c r="C18" s="3">
        <f t="shared" si="0"/>
        <v>0.35573396823866499</v>
      </c>
      <c r="D18" s="4">
        <f t="shared" si="1"/>
        <v>1</v>
      </c>
      <c r="E18" s="4">
        <f t="shared" si="2"/>
        <v>4</v>
      </c>
      <c r="F18" s="3">
        <f t="shared" si="3"/>
        <v>0.35573396823866499</v>
      </c>
      <c r="G18" s="3">
        <f t="shared" si="4"/>
        <v>1.42293587295466</v>
      </c>
    </row>
    <row r="19" spans="1:7" x14ac:dyDescent="0.25">
      <c r="A19" s="4">
        <f t="shared" si="5"/>
        <v>10</v>
      </c>
      <c r="B19" s="3">
        <f t="shared" si="6"/>
        <v>0.82413196563720703</v>
      </c>
      <c r="C19" s="3">
        <f t="shared" si="0"/>
        <v>8.2583404970026919E-7</v>
      </c>
      <c r="D19" s="4">
        <f t="shared" si="1"/>
        <v>0.5</v>
      </c>
      <c r="E19" s="4">
        <f t="shared" si="2"/>
        <v>1</v>
      </c>
      <c r="F19" s="3">
        <f t="shared" si="3"/>
        <v>4.129170248501346E-7</v>
      </c>
      <c r="G19" s="3">
        <f t="shared" si="4"/>
        <v>8.2583404970026919E-7</v>
      </c>
    </row>
    <row r="21" spans="1:7" x14ac:dyDescent="0.25">
      <c r="A21" s="2" t="s">
        <v>26</v>
      </c>
      <c r="F21" s="7">
        <f>SUM(F9:F19)</f>
        <v>6.5764073484392895</v>
      </c>
      <c r="G21" s="7">
        <f>SUM(G9:G19)</f>
        <v>19.925685926664407</v>
      </c>
    </row>
    <row r="23" spans="1:7" x14ac:dyDescent="0.25">
      <c r="A23" s="2" t="s">
        <v>27</v>
      </c>
      <c r="B23" s="3">
        <f>B6*F21</f>
        <v>1.0839655029800488</v>
      </c>
    </row>
    <row r="24" spans="1:7" x14ac:dyDescent="0.25">
      <c r="A24" s="2" t="s">
        <v>28</v>
      </c>
      <c r="B24" s="3">
        <f>B6/3*G21</f>
        <v>1.0947596472941048</v>
      </c>
    </row>
    <row r="25" spans="1:7" x14ac:dyDescent="0.25">
      <c r="A25" s="2" t="s">
        <v>29</v>
      </c>
      <c r="B25" s="3">
        <f>2*SIN(B4)-2*B4^3/3</f>
        <v>1.0947536086091871</v>
      </c>
    </row>
    <row r="26" spans="1:7" x14ac:dyDescent="0.25">
      <c r="A26" s="2" t="s">
        <v>30</v>
      </c>
      <c r="B26" s="6">
        <f>ABS(B23-B25)</f>
        <v>1.0788105629138345E-2</v>
      </c>
    </row>
    <row r="27" spans="1:7" x14ac:dyDescent="0.25">
      <c r="A27" s="2" t="s">
        <v>31</v>
      </c>
      <c r="B27" s="6">
        <f>ABS(B24-B25)</f>
        <v>6.0386849176641277E-6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8"/>
  <sheetViews>
    <sheetView workbookViewId="0"/>
  </sheetViews>
  <sheetFormatPr defaultRowHeight="15" x14ac:dyDescent="0.25"/>
  <cols>
    <col min="1" max="1" width="13" customWidth="1"/>
    <col min="2" max="3" width="10" customWidth="1"/>
    <col min="5" max="6" width="11" customWidth="1"/>
    <col min="8" max="9" width="11" customWidth="1"/>
  </cols>
  <sheetData>
    <row r="1" spans="1:9" ht="15.75" x14ac:dyDescent="0.25">
      <c r="A1" s="1" t="s">
        <v>32</v>
      </c>
    </row>
    <row r="3" spans="1:9" x14ac:dyDescent="0.25">
      <c r="A3" s="2" t="s">
        <v>14</v>
      </c>
      <c r="B3" s="3">
        <f>Bisekcja!B30</f>
        <v>0.82413196563720703</v>
      </c>
    </row>
    <row r="4" spans="1:9" x14ac:dyDescent="0.25">
      <c r="A4" s="2" t="s">
        <v>33</v>
      </c>
      <c r="B4" s="3">
        <f>2*B3/40</f>
        <v>4.1206598281860352E-2</v>
      </c>
    </row>
    <row r="6" spans="1:9" x14ac:dyDescent="0.25">
      <c r="A6" s="5" t="s">
        <v>20</v>
      </c>
      <c r="B6" s="5" t="s">
        <v>34</v>
      </c>
      <c r="C6" s="5" t="s">
        <v>35</v>
      </c>
      <c r="E6" s="9" t="s">
        <v>36</v>
      </c>
      <c r="F6" s="9" t="s">
        <v>37</v>
      </c>
      <c r="H6" s="9" t="s">
        <v>38</v>
      </c>
      <c r="I6" s="9" t="s">
        <v>39</v>
      </c>
    </row>
    <row r="7" spans="1:9" x14ac:dyDescent="0.25">
      <c r="A7" s="10">
        <v>-1.3</v>
      </c>
      <c r="B7" s="11">
        <f t="shared" ref="B7:B38" si="0">A7^2</f>
        <v>1.6900000000000002</v>
      </c>
      <c r="C7" s="11">
        <f t="shared" ref="C7:C38" si="1">COS(A7)</f>
        <v>0.26749882862458735</v>
      </c>
      <c r="E7" s="11">
        <f>-B3</f>
        <v>-0.82413196563720703</v>
      </c>
      <c r="F7" s="11">
        <f>E7^2</f>
        <v>0.67919349678504659</v>
      </c>
      <c r="H7" s="3">
        <f>-B3</f>
        <v>-0.82413196563720703</v>
      </c>
      <c r="I7" s="3">
        <f>H7^2</f>
        <v>0.67919349678504659</v>
      </c>
    </row>
    <row r="8" spans="1:9" x14ac:dyDescent="0.25">
      <c r="A8" s="10">
        <f t="shared" ref="A8:A39" si="2">A7+0.05</f>
        <v>-1.25</v>
      </c>
      <c r="B8" s="11">
        <f t="shared" si="0"/>
        <v>1.5625</v>
      </c>
      <c r="C8" s="11">
        <f t="shared" si="1"/>
        <v>0.31532236239526867</v>
      </c>
      <c r="E8" s="11">
        <f>E7</f>
        <v>-0.82413196563720703</v>
      </c>
      <c r="F8" s="11">
        <f>COS(E8)</f>
        <v>0.67919432261909629</v>
      </c>
      <c r="H8" s="3">
        <f>B3</f>
        <v>0.82413196563720703</v>
      </c>
      <c r="I8" s="3">
        <f>H8^2</f>
        <v>0.67919349678504659</v>
      </c>
    </row>
    <row r="9" spans="1:9" x14ac:dyDescent="0.25">
      <c r="A9" s="10">
        <f t="shared" si="2"/>
        <v>-1.2</v>
      </c>
      <c r="B9" s="11">
        <f t="shared" si="0"/>
        <v>1.44</v>
      </c>
      <c r="C9" s="11">
        <f t="shared" si="1"/>
        <v>0.36235775447667362</v>
      </c>
    </row>
    <row r="10" spans="1:9" x14ac:dyDescent="0.25">
      <c r="A10" s="10">
        <f t="shared" si="2"/>
        <v>-1.1499999999999999</v>
      </c>
      <c r="B10" s="11">
        <f t="shared" si="0"/>
        <v>1.3224999999999998</v>
      </c>
      <c r="C10" s="11">
        <f t="shared" si="1"/>
        <v>0.40848744088415739</v>
      </c>
      <c r="E10" s="11">
        <f>E7+$B$4</f>
        <v>-0.78292536735534668</v>
      </c>
      <c r="F10" s="11">
        <f>E10^2</f>
        <v>0.61297213084850455</v>
      </c>
    </row>
    <row r="11" spans="1:9" x14ac:dyDescent="0.25">
      <c r="A11" s="10">
        <f t="shared" si="2"/>
        <v>-1.0999999999999999</v>
      </c>
      <c r="B11" s="11">
        <f t="shared" si="0"/>
        <v>1.2099999999999997</v>
      </c>
      <c r="C11" s="11">
        <f t="shared" si="1"/>
        <v>0.45359612142557748</v>
      </c>
      <c r="E11" s="11">
        <f>E10</f>
        <v>-0.78292536735534668</v>
      </c>
      <c r="F11" s="11">
        <f>COS(E11)</f>
        <v>0.70885314837546565</v>
      </c>
    </row>
    <row r="12" spans="1:9" x14ac:dyDescent="0.25">
      <c r="A12" s="10">
        <f t="shared" si="2"/>
        <v>-1.0499999999999998</v>
      </c>
      <c r="B12" s="11">
        <f t="shared" si="0"/>
        <v>1.1024999999999996</v>
      </c>
      <c r="C12" s="11">
        <f t="shared" si="1"/>
        <v>0.49757104789172713</v>
      </c>
    </row>
    <row r="13" spans="1:9" x14ac:dyDescent="0.25">
      <c r="A13" s="10">
        <f t="shared" si="2"/>
        <v>-0.99999999999999978</v>
      </c>
      <c r="B13" s="11">
        <f t="shared" si="0"/>
        <v>0.99999999999999956</v>
      </c>
      <c r="C13" s="11">
        <f t="shared" si="1"/>
        <v>0.54030230586813988</v>
      </c>
      <c r="E13" s="11">
        <f>E10+$B$4</f>
        <v>-0.74171876907348633</v>
      </c>
      <c r="F13" s="11">
        <f>E13^2</f>
        <v>0.55014673239588774</v>
      </c>
    </row>
    <row r="14" spans="1:9" x14ac:dyDescent="0.25">
      <c r="A14" s="10">
        <f t="shared" si="2"/>
        <v>-0.94999999999999973</v>
      </c>
      <c r="B14" s="11">
        <f t="shared" si="0"/>
        <v>0.90249999999999952</v>
      </c>
      <c r="C14" s="11">
        <f t="shared" si="1"/>
        <v>0.5816830894638837</v>
      </c>
      <c r="E14" s="11">
        <f>E13</f>
        <v>-0.74171876907348633</v>
      </c>
      <c r="F14" s="11">
        <f>COS(E14)</f>
        <v>0.73730852331157326</v>
      </c>
    </row>
    <row r="15" spans="1:9" x14ac:dyDescent="0.25">
      <c r="A15" s="10">
        <f t="shared" si="2"/>
        <v>-0.89999999999999969</v>
      </c>
      <c r="B15" s="11">
        <f t="shared" si="0"/>
        <v>0.80999999999999939</v>
      </c>
      <c r="C15" s="11">
        <f t="shared" si="1"/>
        <v>0.62160996827066473</v>
      </c>
    </row>
    <row r="16" spans="1:9" x14ac:dyDescent="0.25">
      <c r="A16" s="10">
        <f t="shared" si="2"/>
        <v>-0.84999999999999964</v>
      </c>
      <c r="B16" s="11">
        <f t="shared" si="0"/>
        <v>0.72249999999999936</v>
      </c>
      <c r="C16" s="11">
        <f t="shared" si="1"/>
        <v>0.65998314588498241</v>
      </c>
      <c r="E16" s="11">
        <f>E13+$B$4</f>
        <v>-0.70051217079162598</v>
      </c>
      <c r="F16" s="11">
        <f>E16^2</f>
        <v>0.49071730142719616</v>
      </c>
    </row>
    <row r="17" spans="1:6" x14ac:dyDescent="0.25">
      <c r="A17" s="10">
        <f t="shared" si="2"/>
        <v>-0.7999999999999996</v>
      </c>
      <c r="B17" s="11">
        <f t="shared" si="0"/>
        <v>0.63999999999999935</v>
      </c>
      <c r="C17" s="11">
        <f t="shared" si="1"/>
        <v>0.69670670934716572</v>
      </c>
      <c r="E17" s="11">
        <f>E16</f>
        <v>-0.70051217079162598</v>
      </c>
      <c r="F17" s="11">
        <f>COS(E17)</f>
        <v>0.76451213749977576</v>
      </c>
    </row>
    <row r="18" spans="1:6" x14ac:dyDescent="0.25">
      <c r="A18" s="10">
        <f t="shared" si="2"/>
        <v>-0.74999999999999956</v>
      </c>
      <c r="B18" s="11">
        <f t="shared" si="0"/>
        <v>0.56249999999999933</v>
      </c>
      <c r="C18" s="11">
        <f t="shared" si="1"/>
        <v>0.73168886887382123</v>
      </c>
    </row>
    <row r="19" spans="1:6" x14ac:dyDescent="0.25">
      <c r="A19" s="10">
        <f t="shared" si="2"/>
        <v>-0.69999999999999951</v>
      </c>
      <c r="B19" s="11">
        <f t="shared" si="0"/>
        <v>0.48999999999999932</v>
      </c>
      <c r="C19" s="11">
        <f t="shared" si="1"/>
        <v>0.76484218728448872</v>
      </c>
      <c r="E19" s="11">
        <f>E16+$B$4</f>
        <v>-0.65930557250976563</v>
      </c>
      <c r="F19" s="11">
        <f>E19^2</f>
        <v>0.43468383794242982</v>
      </c>
    </row>
    <row r="20" spans="1:6" x14ac:dyDescent="0.25">
      <c r="A20" s="10">
        <f t="shared" si="2"/>
        <v>-0.64999999999999947</v>
      </c>
      <c r="B20" s="11">
        <f t="shared" si="0"/>
        <v>0.42249999999999932</v>
      </c>
      <c r="C20" s="11">
        <f t="shared" si="1"/>
        <v>0.7960837985490562</v>
      </c>
      <c r="E20" s="11">
        <f>E19</f>
        <v>-0.65930557250976563</v>
      </c>
      <c r="F20" s="11">
        <f>COS(E20)</f>
        <v>0.79041780618109481</v>
      </c>
    </row>
    <row r="21" spans="1:6" x14ac:dyDescent="0.25">
      <c r="A21" s="10">
        <f t="shared" si="2"/>
        <v>-0.59999999999999942</v>
      </c>
      <c r="B21" s="11">
        <f t="shared" si="0"/>
        <v>0.35999999999999932</v>
      </c>
      <c r="C21" s="11">
        <f t="shared" si="1"/>
        <v>0.82533561490967866</v>
      </c>
    </row>
    <row r="22" spans="1:6" x14ac:dyDescent="0.25">
      <c r="A22" s="10">
        <f t="shared" si="2"/>
        <v>-0.54999999999999938</v>
      </c>
      <c r="B22" s="11">
        <f t="shared" si="0"/>
        <v>0.30249999999999932</v>
      </c>
      <c r="C22" s="11">
        <f t="shared" si="1"/>
        <v>0.85252452205950602</v>
      </c>
      <c r="E22" s="11">
        <f>E19+$B$4</f>
        <v>-0.61809897422790527</v>
      </c>
      <c r="F22" s="11">
        <f>E22^2</f>
        <v>0.38204634194158871</v>
      </c>
    </row>
    <row r="23" spans="1:6" x14ac:dyDescent="0.25">
      <c r="A23" s="10">
        <f t="shared" si="2"/>
        <v>-0.49999999999999939</v>
      </c>
      <c r="B23" s="11">
        <f t="shared" si="0"/>
        <v>0.24999999999999939</v>
      </c>
      <c r="C23" s="11">
        <f t="shared" si="1"/>
        <v>0.87758256189037298</v>
      </c>
      <c r="E23" s="11">
        <f>E22</f>
        <v>-0.61809897422790527</v>
      </c>
      <c r="F23" s="11">
        <f>COS(E23)</f>
        <v>0.8149815481750905</v>
      </c>
    </row>
    <row r="24" spans="1:6" x14ac:dyDescent="0.25">
      <c r="A24" s="10">
        <f t="shared" si="2"/>
        <v>-0.4499999999999994</v>
      </c>
      <c r="B24" s="11">
        <f t="shared" si="0"/>
        <v>0.20249999999999946</v>
      </c>
      <c r="C24" s="11">
        <f t="shared" si="1"/>
        <v>0.90044710235267722</v>
      </c>
    </row>
    <row r="25" spans="1:6" x14ac:dyDescent="0.25">
      <c r="A25" s="10">
        <f t="shared" si="2"/>
        <v>-0.39999999999999941</v>
      </c>
      <c r="B25" s="11">
        <f t="shared" si="0"/>
        <v>0.15999999999999953</v>
      </c>
      <c r="C25" s="11">
        <f t="shared" si="1"/>
        <v>0.92106099400288532</v>
      </c>
      <c r="E25" s="11">
        <f>E22+$B$4</f>
        <v>-0.57689237594604492</v>
      </c>
      <c r="F25" s="11">
        <f>E25^2</f>
        <v>0.33280481342467283</v>
      </c>
    </row>
    <row r="26" spans="1:6" x14ac:dyDescent="0.25">
      <c r="A26" s="10">
        <f t="shared" si="2"/>
        <v>-0.34999999999999942</v>
      </c>
      <c r="B26" s="11">
        <f t="shared" si="0"/>
        <v>0.1224999999999996</v>
      </c>
      <c r="C26" s="11">
        <f t="shared" si="1"/>
        <v>0.93937271284737911</v>
      </c>
      <c r="E26" s="11">
        <f>E25</f>
        <v>-0.57689237594604492</v>
      </c>
      <c r="F26" s="11">
        <f>COS(E26)</f>
        <v>0.83816166054862484</v>
      </c>
    </row>
    <row r="27" spans="1:6" x14ac:dyDescent="0.25">
      <c r="A27" s="10">
        <f t="shared" si="2"/>
        <v>-0.29999999999999943</v>
      </c>
      <c r="B27" s="11">
        <f t="shared" si="0"/>
        <v>8.9999999999999664E-2</v>
      </c>
      <c r="C27" s="11">
        <f t="shared" si="1"/>
        <v>0.9553364891256062</v>
      </c>
    </row>
    <row r="28" spans="1:6" x14ac:dyDescent="0.25">
      <c r="A28" s="10">
        <f t="shared" si="2"/>
        <v>-0.24999999999999944</v>
      </c>
      <c r="B28" s="11">
        <f t="shared" si="0"/>
        <v>6.2499999999999722E-2</v>
      </c>
      <c r="C28" s="11">
        <f t="shared" si="1"/>
        <v>0.96891242171064496</v>
      </c>
      <c r="E28" s="11">
        <f>E25+$B$4</f>
        <v>-0.53568577766418457</v>
      </c>
      <c r="F28" s="11">
        <f>E28^2</f>
        <v>0.28695925239168218</v>
      </c>
    </row>
    <row r="29" spans="1:6" x14ac:dyDescent="0.25">
      <c r="A29" s="10">
        <f t="shared" si="2"/>
        <v>-0.19999999999999946</v>
      </c>
      <c r="B29" s="11">
        <f t="shared" si="0"/>
        <v>3.9999999999999786E-2</v>
      </c>
      <c r="C29" s="11">
        <f t="shared" si="1"/>
        <v>0.98006657784124174</v>
      </c>
      <c r="E29" s="11">
        <f>E28</f>
        <v>-0.53568577766418457</v>
      </c>
      <c r="F29" s="11">
        <f>COS(E29)</f>
        <v>0.85991878941674504</v>
      </c>
    </row>
    <row r="30" spans="1:6" x14ac:dyDescent="0.25">
      <c r="A30" s="10">
        <f t="shared" si="2"/>
        <v>-0.14999999999999947</v>
      </c>
      <c r="B30" s="11">
        <f t="shared" si="0"/>
        <v>2.249999999999984E-2</v>
      </c>
      <c r="C30" s="11">
        <f t="shared" si="1"/>
        <v>0.98877107793604235</v>
      </c>
    </row>
    <row r="31" spans="1:6" x14ac:dyDescent="0.25">
      <c r="A31" s="10">
        <f t="shared" si="2"/>
        <v>-9.9999999999999464E-2</v>
      </c>
      <c r="B31" s="11">
        <f t="shared" si="0"/>
        <v>9.9999999999998927E-3</v>
      </c>
      <c r="C31" s="11">
        <f t="shared" si="1"/>
        <v>0.99500416527802582</v>
      </c>
      <c r="E31" s="11">
        <f>E28+$B$4</f>
        <v>-0.49447917938232422</v>
      </c>
      <c r="F31" s="11">
        <f>E31^2</f>
        <v>0.24450965884261677</v>
      </c>
    </row>
    <row r="32" spans="1:6" x14ac:dyDescent="0.25">
      <c r="A32" s="10">
        <f t="shared" si="2"/>
        <v>-4.9999999999999462E-2</v>
      </c>
      <c r="B32" s="11">
        <f t="shared" si="0"/>
        <v>2.4999999999999463E-3</v>
      </c>
      <c r="C32" s="11">
        <f t="shared" si="1"/>
        <v>0.99875026039496628</v>
      </c>
      <c r="E32" s="11">
        <f>E31</f>
        <v>-0.49447917938232422</v>
      </c>
      <c r="F32" s="11">
        <f>COS(E32)</f>
        <v>0.88021599675548523</v>
      </c>
    </row>
    <row r="33" spans="1:6" x14ac:dyDescent="0.25">
      <c r="A33" s="10">
        <f t="shared" si="2"/>
        <v>5.4123372450476381E-16</v>
      </c>
      <c r="B33" s="11">
        <f t="shared" si="0"/>
        <v>2.9293394454129857E-31</v>
      </c>
      <c r="C33" s="11">
        <f t="shared" si="1"/>
        <v>1</v>
      </c>
    </row>
    <row r="34" spans="1:6" x14ac:dyDescent="0.25">
      <c r="A34" s="10">
        <f t="shared" si="2"/>
        <v>5.0000000000000544E-2</v>
      </c>
      <c r="B34" s="11">
        <f t="shared" si="0"/>
        <v>2.5000000000000543E-3</v>
      </c>
      <c r="C34" s="11">
        <f t="shared" si="1"/>
        <v>0.99875026039496617</v>
      </c>
      <c r="E34" s="11">
        <f>E31+$B$4</f>
        <v>-0.45327258110046387</v>
      </c>
      <c r="F34" s="11">
        <f>E34^2</f>
        <v>0.20545603277747659</v>
      </c>
    </row>
    <row r="35" spans="1:6" x14ac:dyDescent="0.25">
      <c r="A35" s="10">
        <f t="shared" si="2"/>
        <v>0.10000000000000055</v>
      </c>
      <c r="B35" s="11">
        <f t="shared" si="0"/>
        <v>1.0000000000000109E-2</v>
      </c>
      <c r="C35" s="11">
        <f t="shared" si="1"/>
        <v>0.99500416527802571</v>
      </c>
      <c r="E35" s="11">
        <f>E34</f>
        <v>-0.45327258110046387</v>
      </c>
      <c r="F35" s="11">
        <f>COS(E35)</f>
        <v>0.89901882311315684</v>
      </c>
    </row>
    <row r="36" spans="1:6" x14ac:dyDescent="0.25">
      <c r="A36" s="10">
        <f t="shared" si="2"/>
        <v>0.15000000000000055</v>
      </c>
      <c r="B36" s="11">
        <f t="shared" si="0"/>
        <v>2.2500000000000166E-2</v>
      </c>
      <c r="C36" s="11">
        <f t="shared" si="1"/>
        <v>0.98877107793604224</v>
      </c>
    </row>
    <row r="37" spans="1:6" x14ac:dyDescent="0.25">
      <c r="A37" s="10">
        <f t="shared" si="2"/>
        <v>0.20000000000000057</v>
      </c>
      <c r="B37" s="11">
        <f t="shared" si="0"/>
        <v>4.000000000000023E-2</v>
      </c>
      <c r="C37" s="11">
        <f t="shared" si="1"/>
        <v>0.98006657784124152</v>
      </c>
      <c r="E37" s="11">
        <f>E34+$B$4</f>
        <v>-0.41206598281860352</v>
      </c>
      <c r="F37" s="11">
        <f>E37^2</f>
        <v>0.16979837419626165</v>
      </c>
    </row>
    <row r="38" spans="1:6" x14ac:dyDescent="0.25">
      <c r="A38" s="10">
        <f t="shared" si="2"/>
        <v>0.25000000000000056</v>
      </c>
      <c r="B38" s="11">
        <f t="shared" si="0"/>
        <v>6.2500000000000278E-2</v>
      </c>
      <c r="C38" s="11">
        <f t="shared" si="1"/>
        <v>0.96891242171064462</v>
      </c>
      <c r="E38" s="11">
        <f>E37</f>
        <v>-0.41206598281860352</v>
      </c>
      <c r="F38" s="11">
        <f>COS(E38)</f>
        <v>0.91629534611365793</v>
      </c>
    </row>
    <row r="39" spans="1:6" x14ac:dyDescent="0.25">
      <c r="A39" s="10">
        <f t="shared" si="2"/>
        <v>0.30000000000000054</v>
      </c>
      <c r="B39" s="11">
        <f t="shared" ref="B39:B70" si="3">A39^2</f>
        <v>9.000000000000033E-2</v>
      </c>
      <c r="C39" s="11">
        <f t="shared" ref="C39:C59" si="4">COS(A39)</f>
        <v>0.95533648912560587</v>
      </c>
    </row>
    <row r="40" spans="1:6" x14ac:dyDescent="0.25">
      <c r="A40" s="10">
        <f t="shared" ref="A40:A59" si="5">A39+0.05</f>
        <v>0.35000000000000053</v>
      </c>
      <c r="B40" s="11">
        <f t="shared" si="3"/>
        <v>0.12250000000000037</v>
      </c>
      <c r="C40" s="11">
        <f t="shared" si="4"/>
        <v>0.93937271284737878</v>
      </c>
      <c r="E40" s="11">
        <f>E37+$B$4</f>
        <v>-0.37085938453674316</v>
      </c>
      <c r="F40" s="11">
        <f>E40^2</f>
        <v>0.13753668309897193</v>
      </c>
    </row>
    <row r="41" spans="1:6" x14ac:dyDescent="0.25">
      <c r="A41" s="10">
        <f t="shared" si="5"/>
        <v>0.40000000000000052</v>
      </c>
      <c r="B41" s="11">
        <f t="shared" si="3"/>
        <v>0.16000000000000042</v>
      </c>
      <c r="C41" s="11">
        <f t="shared" si="4"/>
        <v>0.92106099400288488</v>
      </c>
      <c r="E41" s="11">
        <f>E40</f>
        <v>-0.37085938453674316</v>
      </c>
      <c r="F41" s="11">
        <f>COS(E41)</f>
        <v>0.93201623465247996</v>
      </c>
    </row>
    <row r="42" spans="1:6" x14ac:dyDescent="0.25">
      <c r="A42" s="10">
        <f t="shared" si="5"/>
        <v>0.45000000000000051</v>
      </c>
      <c r="B42" s="11">
        <f t="shared" si="3"/>
        <v>0.20250000000000046</v>
      </c>
      <c r="C42" s="11">
        <f t="shared" si="4"/>
        <v>0.90044710235267666</v>
      </c>
    </row>
    <row r="43" spans="1:6" x14ac:dyDescent="0.25">
      <c r="A43" s="10">
        <f t="shared" si="5"/>
        <v>0.50000000000000056</v>
      </c>
      <c r="B43" s="11">
        <f t="shared" si="3"/>
        <v>0.25000000000000056</v>
      </c>
      <c r="C43" s="11">
        <f t="shared" si="4"/>
        <v>0.87758256189037243</v>
      </c>
      <c r="E43" s="11">
        <f>E40+$B$4</f>
        <v>-0.32965278625488281</v>
      </c>
      <c r="F43" s="11">
        <f>E43^2</f>
        <v>0.10867095948560745</v>
      </c>
    </row>
    <row r="44" spans="1:6" x14ac:dyDescent="0.25">
      <c r="A44" s="10">
        <f t="shared" si="5"/>
        <v>0.5500000000000006</v>
      </c>
      <c r="B44" s="11">
        <f t="shared" si="3"/>
        <v>0.30250000000000066</v>
      </c>
      <c r="C44" s="11">
        <f t="shared" si="4"/>
        <v>0.85252452205950546</v>
      </c>
      <c r="E44" s="11">
        <f>E43</f>
        <v>-0.32965278625488281</v>
      </c>
      <c r="F44" s="11">
        <f>COS(E44)</f>
        <v>0.94615479869339958</v>
      </c>
    </row>
    <row r="45" spans="1:6" x14ac:dyDescent="0.25">
      <c r="A45" s="10">
        <f t="shared" si="5"/>
        <v>0.60000000000000064</v>
      </c>
      <c r="B45" s="11">
        <f t="shared" si="3"/>
        <v>0.36000000000000076</v>
      </c>
      <c r="C45" s="11">
        <f t="shared" si="4"/>
        <v>0.82533561490967788</v>
      </c>
    </row>
    <row r="46" spans="1:6" x14ac:dyDescent="0.25">
      <c r="A46" s="10">
        <f t="shared" si="5"/>
        <v>0.65000000000000069</v>
      </c>
      <c r="B46" s="11">
        <f t="shared" si="3"/>
        <v>0.42250000000000087</v>
      </c>
      <c r="C46" s="11">
        <f t="shared" si="4"/>
        <v>0.79608379854905542</v>
      </c>
      <c r="E46" s="11">
        <f>E43+$B$4</f>
        <v>-0.28844618797302246</v>
      </c>
      <c r="F46" s="11">
        <f>E46^2</f>
        <v>8.3201203356168207E-2</v>
      </c>
    </row>
    <row r="47" spans="1:6" x14ac:dyDescent="0.25">
      <c r="A47" s="10">
        <f t="shared" si="5"/>
        <v>0.70000000000000073</v>
      </c>
      <c r="B47" s="11">
        <f t="shared" si="3"/>
        <v>0.49000000000000105</v>
      </c>
      <c r="C47" s="11">
        <f t="shared" si="4"/>
        <v>0.76484218728448794</v>
      </c>
      <c r="E47" s="11">
        <f>E46</f>
        <v>-0.28844618797302246</v>
      </c>
      <c r="F47" s="11">
        <f>COS(E47)</f>
        <v>0.95868703458131344</v>
      </c>
    </row>
    <row r="48" spans="1:6" x14ac:dyDescent="0.25">
      <c r="A48" s="10">
        <f t="shared" si="5"/>
        <v>0.75000000000000078</v>
      </c>
      <c r="B48" s="11">
        <f t="shared" si="3"/>
        <v>0.56250000000000111</v>
      </c>
      <c r="C48" s="11">
        <f t="shared" si="4"/>
        <v>0.73168886887382034</v>
      </c>
    </row>
    <row r="49" spans="1:6" x14ac:dyDescent="0.25">
      <c r="A49" s="10">
        <f t="shared" si="5"/>
        <v>0.80000000000000082</v>
      </c>
      <c r="B49" s="11">
        <f t="shared" si="3"/>
        <v>0.64000000000000135</v>
      </c>
      <c r="C49" s="11">
        <f t="shared" si="4"/>
        <v>0.69670670934716483</v>
      </c>
      <c r="E49" s="11">
        <f>E46+$B$4</f>
        <v>-0.24723958969116211</v>
      </c>
      <c r="F49" s="11">
        <f>E49^2</f>
        <v>6.1127414710654193E-2</v>
      </c>
    </row>
    <row r="50" spans="1:6" x14ac:dyDescent="0.25">
      <c r="A50" s="10">
        <f t="shared" si="5"/>
        <v>0.85000000000000087</v>
      </c>
      <c r="B50" s="11">
        <f t="shared" si="3"/>
        <v>0.72250000000000147</v>
      </c>
      <c r="C50" s="11">
        <f t="shared" si="4"/>
        <v>0.65998314588498153</v>
      </c>
      <c r="E50" s="11">
        <f>E49</f>
        <v>-0.24723958969116211</v>
      </c>
      <c r="F50" s="11">
        <f>COS(E50)</f>
        <v>0.96959166579428813</v>
      </c>
    </row>
    <row r="51" spans="1:6" x14ac:dyDescent="0.25">
      <c r="A51" s="10">
        <f t="shared" si="5"/>
        <v>0.90000000000000091</v>
      </c>
      <c r="B51" s="11">
        <f t="shared" si="3"/>
        <v>0.81000000000000161</v>
      </c>
      <c r="C51" s="11">
        <f t="shared" si="4"/>
        <v>0.62160996827066373</v>
      </c>
    </row>
    <row r="52" spans="1:6" x14ac:dyDescent="0.25">
      <c r="A52" s="10">
        <f t="shared" si="5"/>
        <v>0.95000000000000095</v>
      </c>
      <c r="B52" s="11">
        <f t="shared" si="3"/>
        <v>0.90250000000000186</v>
      </c>
      <c r="C52" s="11">
        <f t="shared" si="4"/>
        <v>0.5816830894638827</v>
      </c>
      <c r="E52" s="11">
        <f>E49+$B$4</f>
        <v>-0.20603299140930176</v>
      </c>
      <c r="F52" s="11">
        <f>E52^2</f>
        <v>4.2449593549065412E-2</v>
      </c>
    </row>
    <row r="53" spans="1:6" x14ac:dyDescent="0.25">
      <c r="A53" s="10">
        <f t="shared" si="5"/>
        <v>1.0000000000000009</v>
      </c>
      <c r="B53" s="11">
        <f t="shared" si="3"/>
        <v>1.0000000000000018</v>
      </c>
      <c r="C53" s="11">
        <f t="shared" si="4"/>
        <v>0.54030230586813899</v>
      </c>
      <c r="E53" s="11">
        <f>E52</f>
        <v>-0.20603299140930176</v>
      </c>
      <c r="F53" s="11">
        <f>COS(E53)</f>
        <v>0.97885017906563665</v>
      </c>
    </row>
    <row r="54" spans="1:6" x14ac:dyDescent="0.25">
      <c r="A54" s="10">
        <f t="shared" si="5"/>
        <v>1.0500000000000009</v>
      </c>
      <c r="B54" s="11">
        <f t="shared" si="3"/>
        <v>1.102500000000002</v>
      </c>
      <c r="C54" s="11">
        <f t="shared" si="4"/>
        <v>0.49757104789172618</v>
      </c>
    </row>
    <row r="55" spans="1:6" x14ac:dyDescent="0.25">
      <c r="A55" s="10">
        <f t="shared" si="5"/>
        <v>1.100000000000001</v>
      </c>
      <c r="B55" s="11">
        <f t="shared" si="3"/>
        <v>1.2100000000000022</v>
      </c>
      <c r="C55" s="11">
        <f t="shared" si="4"/>
        <v>0.45359612142557654</v>
      </c>
      <c r="E55" s="11">
        <f>E52+$B$4</f>
        <v>-0.16482639312744141</v>
      </c>
      <c r="F55" s="11">
        <f>E55^2</f>
        <v>2.7167739871401864E-2</v>
      </c>
    </row>
    <row r="56" spans="1:6" x14ac:dyDescent="0.25">
      <c r="A56" s="10">
        <f t="shared" si="5"/>
        <v>1.150000000000001</v>
      </c>
      <c r="B56" s="11">
        <f t="shared" si="3"/>
        <v>1.3225000000000025</v>
      </c>
      <c r="C56" s="11">
        <f t="shared" si="4"/>
        <v>0.40848744088415634</v>
      </c>
      <c r="E56" s="11">
        <f>E55</f>
        <v>-0.16482639312744141</v>
      </c>
      <c r="F56" s="11">
        <f>COS(E56)</f>
        <v>0.98644685581469604</v>
      </c>
    </row>
    <row r="57" spans="1:6" x14ac:dyDescent="0.25">
      <c r="A57" s="10">
        <f t="shared" si="5"/>
        <v>1.2000000000000011</v>
      </c>
      <c r="B57" s="11">
        <f t="shared" si="3"/>
        <v>1.4400000000000026</v>
      </c>
      <c r="C57" s="11">
        <f t="shared" si="4"/>
        <v>0.36235775447667257</v>
      </c>
    </row>
    <row r="58" spans="1:6" x14ac:dyDescent="0.25">
      <c r="A58" s="10">
        <f t="shared" si="5"/>
        <v>1.2500000000000011</v>
      </c>
      <c r="B58" s="11">
        <f t="shared" si="3"/>
        <v>1.5625000000000027</v>
      </c>
      <c r="C58" s="11">
        <f t="shared" si="4"/>
        <v>0.31532236239526762</v>
      </c>
      <c r="E58" s="11">
        <f>E55+$B$4</f>
        <v>-0.12361979484558105</v>
      </c>
      <c r="F58" s="11">
        <f>E58^2</f>
        <v>1.5281853677663548E-2</v>
      </c>
    </row>
    <row r="59" spans="1:6" x14ac:dyDescent="0.25">
      <c r="A59" s="10">
        <f t="shared" si="5"/>
        <v>1.3000000000000012</v>
      </c>
      <c r="B59" s="11">
        <f t="shared" si="3"/>
        <v>1.6900000000000031</v>
      </c>
      <c r="C59" s="11">
        <f t="shared" si="4"/>
        <v>0.26749882862458629</v>
      </c>
      <c r="E59" s="11">
        <f>E58</f>
        <v>-0.12361979484558105</v>
      </c>
      <c r="F59" s="11">
        <f>COS(E59)</f>
        <v>0.99236879883294604</v>
      </c>
    </row>
    <row r="61" spans="1:6" x14ac:dyDescent="0.25">
      <c r="E61" s="11">
        <f>E58+$B$4</f>
        <v>-8.2413196563720703E-2</v>
      </c>
      <c r="F61" s="11">
        <f>E61^2</f>
        <v>6.7919349678504659E-3</v>
      </c>
    </row>
    <row r="62" spans="1:6" x14ac:dyDescent="0.25">
      <c r="E62" s="11">
        <f>E61</f>
        <v>-8.2413196563720703E-2</v>
      </c>
      <c r="F62" s="11">
        <f>COS(E62)</f>
        <v>0.9966059541801604</v>
      </c>
    </row>
    <row r="64" spans="1:6" x14ac:dyDescent="0.25">
      <c r="E64" s="11">
        <f>E61+$B$4</f>
        <v>-4.1206598281860352E-2</v>
      </c>
      <c r="F64" s="11">
        <f>E64^2</f>
        <v>1.6979837419626165E-3</v>
      </c>
    </row>
    <row r="65" spans="5:6" x14ac:dyDescent="0.25">
      <c r="E65" s="11">
        <f>E64</f>
        <v>-4.1206598281860352E-2</v>
      </c>
      <c r="F65" s="11">
        <f>COS(E65)</f>
        <v>0.99915112825341901</v>
      </c>
    </row>
    <row r="67" spans="5:6" x14ac:dyDescent="0.25">
      <c r="E67" s="11">
        <f>E64+$B$4</f>
        <v>0</v>
      </c>
      <c r="F67" s="11">
        <f>E67^2</f>
        <v>0</v>
      </c>
    </row>
    <row r="68" spans="5:6" x14ac:dyDescent="0.25">
      <c r="E68" s="11">
        <f>E67</f>
        <v>0</v>
      </c>
      <c r="F68" s="11">
        <f>COS(E68)</f>
        <v>1</v>
      </c>
    </row>
    <row r="70" spans="5:6" x14ac:dyDescent="0.25">
      <c r="E70" s="11">
        <f>E67+$B$4</f>
        <v>4.1206598281860352E-2</v>
      </c>
      <c r="F70" s="11">
        <f>E70^2</f>
        <v>1.6979837419626165E-3</v>
      </c>
    </row>
    <row r="71" spans="5:6" x14ac:dyDescent="0.25">
      <c r="E71" s="11">
        <f>E70</f>
        <v>4.1206598281860352E-2</v>
      </c>
      <c r="F71" s="11">
        <f>COS(E71)</f>
        <v>0.99915112825341901</v>
      </c>
    </row>
    <row r="73" spans="5:6" x14ac:dyDescent="0.25">
      <c r="E73" s="11">
        <f>E70+$B$4</f>
        <v>8.2413196563720703E-2</v>
      </c>
      <c r="F73" s="11">
        <f>E73^2</f>
        <v>6.7919349678504659E-3</v>
      </c>
    </row>
    <row r="74" spans="5:6" x14ac:dyDescent="0.25">
      <c r="E74" s="11">
        <f>E73</f>
        <v>8.2413196563720703E-2</v>
      </c>
      <c r="F74" s="11">
        <f>COS(E74)</f>
        <v>0.9966059541801604</v>
      </c>
    </row>
    <row r="76" spans="5:6" x14ac:dyDescent="0.25">
      <c r="E76" s="11">
        <f>E73+$B$4</f>
        <v>0.12361979484558105</v>
      </c>
      <c r="F76" s="11">
        <f>E76^2</f>
        <v>1.5281853677663548E-2</v>
      </c>
    </row>
    <row r="77" spans="5:6" x14ac:dyDescent="0.25">
      <c r="E77" s="11">
        <f>E76</f>
        <v>0.12361979484558105</v>
      </c>
      <c r="F77" s="11">
        <f>COS(E77)</f>
        <v>0.99236879883294604</v>
      </c>
    </row>
    <row r="79" spans="5:6" x14ac:dyDescent="0.25">
      <c r="E79" s="11">
        <f>E76+$B$4</f>
        <v>0.16482639312744141</v>
      </c>
      <c r="F79" s="11">
        <f>E79^2</f>
        <v>2.7167739871401864E-2</v>
      </c>
    </row>
    <row r="80" spans="5:6" x14ac:dyDescent="0.25">
      <c r="E80" s="11">
        <f>E79</f>
        <v>0.16482639312744141</v>
      </c>
      <c r="F80" s="11">
        <f>COS(E80)</f>
        <v>0.98644685581469604</v>
      </c>
    </row>
    <row r="82" spans="5:6" x14ac:dyDescent="0.25">
      <c r="E82" s="11">
        <f>E79+$B$4</f>
        <v>0.20603299140930176</v>
      </c>
      <c r="F82" s="11">
        <f>E82^2</f>
        <v>4.2449593549065412E-2</v>
      </c>
    </row>
    <row r="83" spans="5:6" x14ac:dyDescent="0.25">
      <c r="E83" s="11">
        <f>E82</f>
        <v>0.20603299140930176</v>
      </c>
      <c r="F83" s="11">
        <f>COS(E83)</f>
        <v>0.97885017906563665</v>
      </c>
    </row>
    <row r="85" spans="5:6" x14ac:dyDescent="0.25">
      <c r="E85" s="11">
        <f>E82+$B$4</f>
        <v>0.24723958969116211</v>
      </c>
      <c r="F85" s="11">
        <f>E85^2</f>
        <v>6.1127414710654193E-2</v>
      </c>
    </row>
    <row r="86" spans="5:6" x14ac:dyDescent="0.25">
      <c r="E86" s="11">
        <f>E85</f>
        <v>0.24723958969116211</v>
      </c>
      <c r="F86" s="11">
        <f>COS(E86)</f>
        <v>0.96959166579428813</v>
      </c>
    </row>
    <row r="88" spans="5:6" x14ac:dyDescent="0.25">
      <c r="E88" s="11">
        <f>E85+$B$4</f>
        <v>0.28844618797302246</v>
      </c>
      <c r="F88" s="11">
        <f>E88^2</f>
        <v>8.3201203356168207E-2</v>
      </c>
    </row>
    <row r="89" spans="5:6" x14ac:dyDescent="0.25">
      <c r="E89" s="11">
        <f>E88</f>
        <v>0.28844618797302246</v>
      </c>
      <c r="F89" s="11">
        <f>COS(E89)</f>
        <v>0.95868703458131344</v>
      </c>
    </row>
    <row r="91" spans="5:6" x14ac:dyDescent="0.25">
      <c r="E91" s="11">
        <f>E88+$B$4</f>
        <v>0.32965278625488281</v>
      </c>
      <c r="F91" s="11">
        <f>E91^2</f>
        <v>0.10867095948560745</v>
      </c>
    </row>
    <row r="92" spans="5:6" x14ac:dyDescent="0.25">
      <c r="E92" s="11">
        <f>E91</f>
        <v>0.32965278625488281</v>
      </c>
      <c r="F92" s="11">
        <f>COS(E92)</f>
        <v>0.94615479869339958</v>
      </c>
    </row>
    <row r="94" spans="5:6" x14ac:dyDescent="0.25">
      <c r="E94" s="11">
        <f>E91+$B$4</f>
        <v>0.37085938453674316</v>
      </c>
      <c r="F94" s="11">
        <f>E94^2</f>
        <v>0.13753668309897193</v>
      </c>
    </row>
    <row r="95" spans="5:6" x14ac:dyDescent="0.25">
      <c r="E95" s="11">
        <f>E94</f>
        <v>0.37085938453674316</v>
      </c>
      <c r="F95" s="11">
        <f>COS(E95)</f>
        <v>0.93201623465247996</v>
      </c>
    </row>
    <row r="97" spans="5:6" x14ac:dyDescent="0.25">
      <c r="E97" s="11">
        <f>E94+$B$4</f>
        <v>0.41206598281860352</v>
      </c>
      <c r="F97" s="11">
        <f>E97^2</f>
        <v>0.16979837419626165</v>
      </c>
    </row>
    <row r="98" spans="5:6" x14ac:dyDescent="0.25">
      <c r="E98" s="11">
        <f>E97</f>
        <v>0.41206598281860352</v>
      </c>
      <c r="F98" s="11">
        <f>COS(E98)</f>
        <v>0.91629534611365793</v>
      </c>
    </row>
    <row r="100" spans="5:6" x14ac:dyDescent="0.25">
      <c r="E100" s="11">
        <f>E97+$B$4</f>
        <v>0.45327258110046387</v>
      </c>
      <c r="F100" s="11">
        <f>E100^2</f>
        <v>0.20545603277747659</v>
      </c>
    </row>
    <row r="101" spans="5:6" x14ac:dyDescent="0.25">
      <c r="E101" s="11">
        <f>E100</f>
        <v>0.45327258110046387</v>
      </c>
      <c r="F101" s="11">
        <f>COS(E101)</f>
        <v>0.89901882311315684</v>
      </c>
    </row>
    <row r="103" spans="5:6" x14ac:dyDescent="0.25">
      <c r="E103" s="11">
        <f>E100+$B$4</f>
        <v>0.49447917938232422</v>
      </c>
      <c r="F103" s="11">
        <f>E103^2</f>
        <v>0.24450965884261677</v>
      </c>
    </row>
    <row r="104" spans="5:6" x14ac:dyDescent="0.25">
      <c r="E104" s="11">
        <f>E103</f>
        <v>0.49447917938232422</v>
      </c>
      <c r="F104" s="11">
        <f>COS(E104)</f>
        <v>0.88021599675548523</v>
      </c>
    </row>
    <row r="106" spans="5:6" x14ac:dyDescent="0.25">
      <c r="E106" s="11">
        <f>E103+$B$4</f>
        <v>0.53568577766418457</v>
      </c>
      <c r="F106" s="11">
        <f>E106^2</f>
        <v>0.28695925239168218</v>
      </c>
    </row>
    <row r="107" spans="5:6" x14ac:dyDescent="0.25">
      <c r="E107" s="11">
        <f>E106</f>
        <v>0.53568577766418457</v>
      </c>
      <c r="F107" s="11">
        <f>COS(E107)</f>
        <v>0.85991878941674504</v>
      </c>
    </row>
    <row r="109" spans="5:6" x14ac:dyDescent="0.25">
      <c r="E109" s="11">
        <f>E106+$B$4</f>
        <v>0.57689237594604492</v>
      </c>
      <c r="F109" s="11">
        <f>E109^2</f>
        <v>0.33280481342467283</v>
      </c>
    </row>
    <row r="110" spans="5:6" x14ac:dyDescent="0.25">
      <c r="E110" s="11">
        <f>E109</f>
        <v>0.57689237594604492</v>
      </c>
      <c r="F110" s="11">
        <f>COS(E110)</f>
        <v>0.83816166054862484</v>
      </c>
    </row>
    <row r="112" spans="5:6" x14ac:dyDescent="0.25">
      <c r="E112" s="11">
        <f>E109+$B$4</f>
        <v>0.61809897422790527</v>
      </c>
      <c r="F112" s="11">
        <f>E112^2</f>
        <v>0.38204634194158871</v>
      </c>
    </row>
    <row r="113" spans="5:6" x14ac:dyDescent="0.25">
      <c r="E113" s="11">
        <f>E112</f>
        <v>0.61809897422790527</v>
      </c>
      <c r="F113" s="11">
        <f>COS(E113)</f>
        <v>0.8149815481750905</v>
      </c>
    </row>
    <row r="115" spans="5:6" x14ac:dyDescent="0.25">
      <c r="E115" s="11">
        <f>E112+$B$4</f>
        <v>0.65930557250976563</v>
      </c>
      <c r="F115" s="11">
        <f>E115^2</f>
        <v>0.43468383794242982</v>
      </c>
    </row>
    <row r="116" spans="5:6" x14ac:dyDescent="0.25">
      <c r="E116" s="11">
        <f>E115</f>
        <v>0.65930557250976563</v>
      </c>
      <c r="F116" s="11">
        <f>COS(E116)</f>
        <v>0.79041780618109481</v>
      </c>
    </row>
    <row r="118" spans="5:6" x14ac:dyDescent="0.25">
      <c r="E118" s="11">
        <f>E115+$B$4</f>
        <v>0.70051217079162598</v>
      </c>
      <c r="F118" s="11">
        <f>E118^2</f>
        <v>0.49071730142719616</v>
      </c>
    </row>
    <row r="119" spans="5:6" x14ac:dyDescent="0.25">
      <c r="E119" s="11">
        <f>E118</f>
        <v>0.70051217079162598</v>
      </c>
      <c r="F119" s="11">
        <f>COS(E119)</f>
        <v>0.76451213749977576</v>
      </c>
    </row>
    <row r="121" spans="5:6" x14ac:dyDescent="0.25">
      <c r="E121" s="11">
        <f>E118+$B$4</f>
        <v>0.74171876907348633</v>
      </c>
      <c r="F121" s="11">
        <f>E121^2</f>
        <v>0.55014673239588774</v>
      </c>
    </row>
    <row r="122" spans="5:6" x14ac:dyDescent="0.25">
      <c r="E122" s="11">
        <f>E121</f>
        <v>0.74171876907348633</v>
      </c>
      <c r="F122" s="11">
        <f>COS(E122)</f>
        <v>0.73730852331157326</v>
      </c>
    </row>
    <row r="124" spans="5:6" x14ac:dyDescent="0.25">
      <c r="E124" s="11">
        <f>E121+$B$4</f>
        <v>0.78292536735534668</v>
      </c>
      <c r="F124" s="11">
        <f>E124^2</f>
        <v>0.61297213084850455</v>
      </c>
    </row>
    <row r="125" spans="5:6" x14ac:dyDescent="0.25">
      <c r="E125" s="11">
        <f>E124</f>
        <v>0.78292536735534668</v>
      </c>
      <c r="F125" s="11">
        <f>COS(E125)</f>
        <v>0.70885314837546565</v>
      </c>
    </row>
    <row r="127" spans="5:6" x14ac:dyDescent="0.25">
      <c r="E127" s="11">
        <f>E124+$B$4</f>
        <v>0.82413196563720703</v>
      </c>
      <c r="F127" s="11">
        <f>E127^2</f>
        <v>0.67919349678504659</v>
      </c>
    </row>
    <row r="128" spans="5:6" x14ac:dyDescent="0.25">
      <c r="E128" s="11">
        <f>E127</f>
        <v>0.82413196563720703</v>
      </c>
      <c r="F128" s="11">
        <f>COS(E128)</f>
        <v>0.67919432261909629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Bisekcja</vt:lpstr>
      <vt:lpstr>Całkowanie</vt:lpstr>
      <vt:lpstr>Wykres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fissible</dc:creator>
  <cp:lastModifiedBy>fissible</cp:lastModifiedBy>
  <dcterms:created xsi:type="dcterms:W3CDTF">2026-10-14T19:07:26Z</dcterms:created>
  <dcterms:modified xsi:type="dcterms:W3CDTF">2026-10-14T19:07:35Z</dcterms:modified>
</cp:coreProperties>
</file>