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/>
  <mc:AlternateContent xmlns:mc="http://schemas.openxmlformats.org/markup-compatibility/2006">
    <mc:Choice Requires="x15">
      <x15ac:absPath xmlns:x15ac="http://schemas.microsoft.com/office/spreadsheetml/2010/11/ac" url="C:\Users\Olek\Downloads\Factorial2\arkusz\"/>
    </mc:Choice>
  </mc:AlternateContent>
  <xr:revisionPtr revIDLastSave="0" documentId="13_ncr:1_{3526E68C-4AF6-489B-8310-4EEFAD4E57FA}" xr6:coauthVersionLast="47" xr6:coauthVersionMax="47" xr10:uidLastSave="{00000000-0000-0000-0000-000000000000}"/>
  <bookViews>
    <workbookView xWindow="375" yWindow="375" windowWidth="21000" windowHeight="11190" xr2:uid="{00000000-000D-0000-FFFF-FFFF00000000}"/>
  </bookViews>
  <sheets>
    <sheet name="Bisekcja" sheetId="1" r:id="rId1"/>
    <sheet name="Całkowanie" sheetId="2" r:id="rId2"/>
    <sheet name="Wykr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3" l="1"/>
  <c r="C58" i="3" s="1"/>
  <c r="A57" i="3"/>
  <c r="C57" i="3" s="1"/>
  <c r="B56" i="3"/>
  <c r="A56" i="3"/>
  <c r="C56" i="3" s="1"/>
  <c r="A55" i="3"/>
  <c r="B55" i="3" s="1"/>
  <c r="A54" i="3"/>
  <c r="C54" i="3" s="1"/>
  <c r="C53" i="3"/>
  <c r="B53" i="3"/>
  <c r="A53" i="3"/>
  <c r="A52" i="3"/>
  <c r="A51" i="3"/>
  <c r="C51" i="3" s="1"/>
  <c r="A50" i="3"/>
  <c r="B50" i="3" s="1"/>
  <c r="B49" i="3"/>
  <c r="A49" i="3"/>
  <c r="C49" i="3" s="1"/>
  <c r="A48" i="3"/>
  <c r="C48" i="3" s="1"/>
  <c r="A47" i="3"/>
  <c r="B47" i="3" s="1"/>
  <c r="A46" i="3"/>
  <c r="B46" i="3" s="1"/>
  <c r="C45" i="3"/>
  <c r="A45" i="3"/>
  <c r="B45" i="3" s="1"/>
  <c r="A44" i="3"/>
  <c r="C44" i="3" s="1"/>
  <c r="A43" i="3"/>
  <c r="B43" i="3" s="1"/>
  <c r="A42" i="3"/>
  <c r="B42" i="3" s="1"/>
  <c r="A41" i="3"/>
  <c r="B41" i="3" s="1"/>
  <c r="C40" i="3"/>
  <c r="A40" i="3"/>
  <c r="B40" i="3" s="1"/>
  <c r="A39" i="3"/>
  <c r="B39" i="3" s="1"/>
  <c r="A38" i="3"/>
  <c r="A37" i="3"/>
  <c r="C37" i="3" s="1"/>
  <c r="A36" i="3"/>
  <c r="C36" i="3" s="1"/>
  <c r="A35" i="3"/>
  <c r="C35" i="3" s="1"/>
  <c r="C34" i="3"/>
  <c r="B34" i="3"/>
  <c r="A34" i="3"/>
  <c r="A33" i="3"/>
  <c r="B33" i="3" s="1"/>
  <c r="A32" i="3"/>
  <c r="C32" i="3" s="1"/>
  <c r="B31" i="3"/>
  <c r="A31" i="3"/>
  <c r="C31" i="3" s="1"/>
  <c r="A30" i="3"/>
  <c r="A29" i="3"/>
  <c r="B29" i="3" s="1"/>
  <c r="A28" i="3"/>
  <c r="B28" i="3" s="1"/>
  <c r="B27" i="3"/>
  <c r="A27" i="3"/>
  <c r="C27" i="3" s="1"/>
  <c r="A26" i="3"/>
  <c r="C26" i="3" s="1"/>
  <c r="A25" i="3"/>
  <c r="B25" i="3" s="1"/>
  <c r="C24" i="3"/>
  <c r="A24" i="3"/>
  <c r="B24" i="3" s="1"/>
  <c r="A23" i="3"/>
  <c r="C23" i="3" s="1"/>
  <c r="A22" i="3"/>
  <c r="B22" i="3" s="1"/>
  <c r="C21" i="3"/>
  <c r="A21" i="3"/>
  <c r="B21" i="3" s="1"/>
  <c r="A20" i="3"/>
  <c r="C20" i="3" s="1"/>
  <c r="A19" i="3"/>
  <c r="B19" i="3" s="1"/>
  <c r="A18" i="3"/>
  <c r="B18" i="3" s="1"/>
  <c r="A17" i="3"/>
  <c r="C17" i="3" s="1"/>
  <c r="A16" i="3"/>
  <c r="A15" i="3"/>
  <c r="C15" i="3" s="1"/>
  <c r="C14" i="3"/>
  <c r="A14" i="3"/>
  <c r="B14" i="3" s="1"/>
  <c r="A13" i="3"/>
  <c r="C13" i="3" s="1"/>
  <c r="A12" i="3"/>
  <c r="C12" i="3" s="1"/>
  <c r="A11" i="3"/>
  <c r="C11" i="3" s="1"/>
  <c r="A10" i="3"/>
  <c r="B10" i="3" s="1"/>
  <c r="A9" i="3"/>
  <c r="B9" i="3" s="1"/>
  <c r="C8" i="3"/>
  <c r="B8" i="3"/>
  <c r="A8" i="3"/>
  <c r="A7" i="3"/>
  <c r="C7" i="3" s="1"/>
  <c r="A6" i="3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C8" i="1"/>
  <c r="H8" i="1" s="1"/>
  <c r="I8" i="1" s="1"/>
  <c r="B8" i="1"/>
  <c r="C41" i="3" l="1"/>
  <c r="C55" i="3"/>
  <c r="B36" i="3"/>
  <c r="C10" i="3"/>
  <c r="C42" i="3"/>
  <c r="B15" i="3"/>
  <c r="C46" i="3"/>
  <c r="B11" i="3"/>
  <c r="C18" i="3"/>
  <c r="B37" i="3"/>
  <c r="C43" i="3"/>
  <c r="C22" i="3"/>
  <c r="D8" i="1"/>
  <c r="G8" i="1" s="1"/>
  <c r="C19" i="3"/>
  <c r="B26" i="3"/>
  <c r="B44" i="3"/>
  <c r="B51" i="3"/>
  <c r="C33" i="3"/>
  <c r="B58" i="3"/>
  <c r="C29" i="3"/>
  <c r="C39" i="3"/>
  <c r="C6" i="3"/>
  <c r="B6" i="3"/>
  <c r="C28" i="3"/>
  <c r="C9" i="3"/>
  <c r="C25" i="3"/>
  <c r="C47" i="3"/>
  <c r="B54" i="3"/>
  <c r="B57" i="3"/>
  <c r="C16" i="3"/>
  <c r="B16" i="3"/>
  <c r="C38" i="3"/>
  <c r="B38" i="3"/>
  <c r="B12" i="3"/>
  <c r="C50" i="3"/>
  <c r="B7" i="3"/>
  <c r="B32" i="3"/>
  <c r="B35" i="3"/>
  <c r="B48" i="3"/>
  <c r="E8" i="1"/>
  <c r="B13" i="3"/>
  <c r="F8" i="1"/>
  <c r="B17" i="3"/>
  <c r="B20" i="3"/>
  <c r="B23" i="3"/>
  <c r="C30" i="3"/>
  <c r="B30" i="3"/>
  <c r="C52" i="3"/>
  <c r="B52" i="3"/>
  <c r="B9" i="1" l="1"/>
  <c r="C9" i="1"/>
  <c r="H9" i="1" l="1"/>
  <c r="I9" i="1" s="1"/>
  <c r="F9" i="1"/>
  <c r="D9" i="1"/>
  <c r="G9" i="1" s="1"/>
  <c r="E9" i="1"/>
  <c r="C10" i="1" l="1"/>
  <c r="B10" i="1"/>
  <c r="E10" i="1" l="1"/>
  <c r="D10" i="1"/>
  <c r="G10" i="1" s="1"/>
  <c r="F10" i="1"/>
  <c r="H10" i="1"/>
  <c r="I10" i="1" s="1"/>
  <c r="B11" i="1" l="1"/>
  <c r="C11" i="1"/>
  <c r="F11" i="1" l="1"/>
  <c r="H11" i="1"/>
  <c r="I11" i="1" s="1"/>
  <c r="E11" i="1"/>
  <c r="D11" i="1"/>
  <c r="G11" i="1" s="1"/>
  <c r="B12" i="1" l="1"/>
  <c r="C12" i="1"/>
  <c r="H12" i="1" l="1"/>
  <c r="I12" i="1" s="1"/>
  <c r="F12" i="1"/>
  <c r="E12" i="1"/>
  <c r="D12" i="1"/>
  <c r="G12" i="1" s="1"/>
  <c r="C13" i="1" l="1"/>
  <c r="B13" i="1"/>
  <c r="E13" i="1" l="1"/>
  <c r="D13" i="1"/>
  <c r="G13" i="1" s="1"/>
  <c r="F13" i="1"/>
  <c r="H13" i="1"/>
  <c r="I13" i="1" s="1"/>
  <c r="C14" i="1" l="1"/>
  <c r="B14" i="1"/>
  <c r="E14" i="1" l="1"/>
  <c r="D14" i="1"/>
  <c r="G14" i="1" s="1"/>
  <c r="F14" i="1"/>
  <c r="H14" i="1"/>
  <c r="I14" i="1" s="1"/>
  <c r="B15" i="1" l="1"/>
  <c r="C15" i="1"/>
  <c r="F15" i="1" l="1"/>
  <c r="H15" i="1"/>
  <c r="I15" i="1" s="1"/>
  <c r="D15" i="1"/>
  <c r="G15" i="1" s="1"/>
  <c r="E15" i="1"/>
  <c r="C16" i="1" l="1"/>
  <c r="B16" i="1"/>
  <c r="E16" i="1" l="1"/>
  <c r="D16" i="1"/>
  <c r="G16" i="1" s="1"/>
  <c r="F16" i="1"/>
  <c r="H16" i="1"/>
  <c r="I16" i="1" s="1"/>
  <c r="B17" i="1" l="1"/>
  <c r="C17" i="1"/>
  <c r="H17" i="1" l="1"/>
  <c r="I17" i="1" s="1"/>
  <c r="F17" i="1"/>
  <c r="D17" i="1"/>
  <c r="G17" i="1" s="1"/>
  <c r="E17" i="1"/>
  <c r="B18" i="1" l="1"/>
  <c r="C18" i="1"/>
  <c r="H18" i="1" l="1"/>
  <c r="I18" i="1" s="1"/>
  <c r="F18" i="1"/>
  <c r="D18" i="1"/>
  <c r="G18" i="1" s="1"/>
  <c r="E18" i="1"/>
  <c r="C19" i="1" l="1"/>
  <c r="B19" i="1"/>
  <c r="E19" i="1" l="1"/>
  <c r="D19" i="1"/>
  <c r="G19" i="1" s="1"/>
  <c r="F19" i="1"/>
  <c r="H19" i="1"/>
  <c r="I19" i="1" s="1"/>
  <c r="B20" i="1" l="1"/>
  <c r="C20" i="1"/>
  <c r="H20" i="1" l="1"/>
  <c r="I20" i="1" s="1"/>
  <c r="F20" i="1"/>
  <c r="E20" i="1"/>
  <c r="D20" i="1"/>
  <c r="G20" i="1" s="1"/>
  <c r="B21" i="1" l="1"/>
  <c r="C21" i="1"/>
  <c r="H21" i="1" l="1"/>
  <c r="I21" i="1" s="1"/>
  <c r="F21" i="1"/>
  <c r="E21" i="1"/>
  <c r="D21" i="1"/>
  <c r="G21" i="1" s="1"/>
  <c r="B22" i="1" l="1"/>
  <c r="C22" i="1"/>
  <c r="F22" i="1" l="1"/>
  <c r="H22" i="1"/>
  <c r="I22" i="1" s="1"/>
  <c r="E22" i="1"/>
  <c r="D22" i="1"/>
  <c r="G22" i="1" s="1"/>
  <c r="C23" i="1" l="1"/>
  <c r="B23" i="1"/>
  <c r="E23" i="1" l="1"/>
  <c r="D23" i="1"/>
  <c r="G23" i="1" s="1"/>
  <c r="F23" i="1"/>
  <c r="H23" i="1"/>
  <c r="I23" i="1" s="1"/>
  <c r="B24" i="1" l="1"/>
  <c r="C24" i="1"/>
  <c r="H24" i="1" l="1"/>
  <c r="I24" i="1" s="1"/>
  <c r="F24" i="1"/>
  <c r="D24" i="1"/>
  <c r="G24" i="1" s="1"/>
  <c r="E24" i="1"/>
  <c r="C25" i="1" l="1"/>
  <c r="B25" i="1"/>
  <c r="E25" i="1" l="1"/>
  <c r="D25" i="1"/>
  <c r="G25" i="1" s="1"/>
  <c r="F25" i="1"/>
  <c r="H25" i="1"/>
  <c r="I25" i="1" s="1"/>
  <c r="B26" i="1" l="1"/>
  <c r="C26" i="1"/>
  <c r="H26" i="1" l="1"/>
  <c r="I26" i="1" s="1"/>
  <c r="B32" i="1" s="1"/>
  <c r="F26" i="1"/>
  <c r="E26" i="1"/>
  <c r="D26" i="1"/>
  <c r="G26" i="1" s="1"/>
  <c r="B28" i="1" l="1"/>
  <c r="C28" i="1"/>
  <c r="H28" i="1" s="1"/>
  <c r="I28" i="1" s="1"/>
  <c r="B30" i="1" l="1"/>
  <c r="B3" i="2" l="1"/>
  <c r="B4" i="2"/>
  <c r="B31" i="1"/>
  <c r="B3" i="3"/>
  <c r="F127" i="3" l="1"/>
  <c r="F118" i="3"/>
  <c r="F109" i="3"/>
  <c r="F100" i="3"/>
  <c r="F91" i="3"/>
  <c r="F82" i="3"/>
  <c r="F73" i="3"/>
  <c r="F64" i="3"/>
  <c r="E49" i="3"/>
  <c r="F46" i="3"/>
  <c r="E27" i="3"/>
  <c r="F24" i="3"/>
  <c r="E13" i="3"/>
  <c r="F10" i="3"/>
  <c r="E118" i="3"/>
  <c r="E109" i="3"/>
  <c r="E100" i="3"/>
  <c r="E91" i="3"/>
  <c r="E82" i="3"/>
  <c r="E73" i="3"/>
  <c r="E64" i="3"/>
  <c r="F57" i="3"/>
  <c r="E46" i="3"/>
  <c r="F43" i="3"/>
  <c r="E24" i="3"/>
  <c r="F21" i="3"/>
  <c r="E10" i="3"/>
  <c r="F117" i="3"/>
  <c r="F108" i="3"/>
  <c r="F99" i="3"/>
  <c r="F90" i="3"/>
  <c r="F81" i="3"/>
  <c r="F72" i="3"/>
  <c r="F63" i="3"/>
  <c r="E127" i="3"/>
  <c r="F126" i="3"/>
  <c r="E126" i="3"/>
  <c r="F124" i="3"/>
  <c r="E124" i="3"/>
  <c r="F123" i="3"/>
  <c r="E123" i="3"/>
  <c r="F121" i="3"/>
  <c r="E121" i="3"/>
  <c r="F120" i="3"/>
  <c r="E120" i="3"/>
  <c r="E117" i="3"/>
  <c r="F105" i="3"/>
  <c r="E94" i="3"/>
  <c r="E81" i="3"/>
  <c r="F69" i="3"/>
  <c r="E58" i="3"/>
  <c r="E55" i="3"/>
  <c r="E52" i="3"/>
  <c r="F45" i="3"/>
  <c r="F42" i="3"/>
  <c r="F39" i="3"/>
  <c r="E36" i="3"/>
  <c r="E33" i="3"/>
  <c r="E30" i="3"/>
  <c r="H7" i="3"/>
  <c r="I7" i="3" s="1"/>
  <c r="E61" i="3"/>
  <c r="E43" i="3"/>
  <c r="E21" i="3"/>
  <c r="E108" i="3"/>
  <c r="F115" i="3"/>
  <c r="E105" i="3"/>
  <c r="F93" i="3"/>
  <c r="F79" i="3"/>
  <c r="E69" i="3"/>
  <c r="F48" i="3"/>
  <c r="E45" i="3"/>
  <c r="E42" i="3"/>
  <c r="E39" i="3"/>
  <c r="F7" i="3"/>
  <c r="F111" i="3"/>
  <c r="H6" i="3"/>
  <c r="I6" i="3" s="1"/>
  <c r="E97" i="3"/>
  <c r="E115" i="3"/>
  <c r="F103" i="3"/>
  <c r="E93" i="3"/>
  <c r="E79" i="3"/>
  <c r="F67" i="3"/>
  <c r="F51" i="3"/>
  <c r="E48" i="3"/>
  <c r="F13" i="3"/>
  <c r="E7" i="3"/>
  <c r="F75" i="3"/>
  <c r="E18" i="3"/>
  <c r="E85" i="3"/>
  <c r="F114" i="3"/>
  <c r="E103" i="3"/>
  <c r="E90" i="3"/>
  <c r="F78" i="3"/>
  <c r="E67" i="3"/>
  <c r="F54" i="3"/>
  <c r="E51" i="3"/>
  <c r="F22" i="3"/>
  <c r="F19" i="3"/>
  <c r="F16" i="3"/>
  <c r="E87" i="3"/>
  <c r="F60" i="3"/>
  <c r="E114" i="3"/>
  <c r="F102" i="3"/>
  <c r="F88" i="3"/>
  <c r="E78" i="3"/>
  <c r="F66" i="3"/>
  <c r="E57" i="3"/>
  <c r="E54" i="3"/>
  <c r="F25" i="3"/>
  <c r="E22" i="3"/>
  <c r="E19" i="3"/>
  <c r="E16" i="3"/>
  <c r="F9" i="3"/>
  <c r="F97" i="3"/>
  <c r="F40" i="3"/>
  <c r="E34" i="3"/>
  <c r="E31" i="3"/>
  <c r="E75" i="3"/>
  <c r="E72" i="3"/>
  <c r="E6" i="3"/>
  <c r="F112" i="3"/>
  <c r="E102" i="3"/>
  <c r="E88" i="3"/>
  <c r="F76" i="3"/>
  <c r="E66" i="3"/>
  <c r="F28" i="3"/>
  <c r="E25" i="3"/>
  <c r="F12" i="3"/>
  <c r="E9" i="3"/>
  <c r="F61" i="3"/>
  <c r="F18" i="3"/>
  <c r="F85" i="3"/>
  <c r="E40" i="3"/>
  <c r="F96" i="3"/>
  <c r="E112" i="3"/>
  <c r="E99" i="3"/>
  <c r="F87" i="3"/>
  <c r="E76" i="3"/>
  <c r="E63" i="3"/>
  <c r="F37" i="3"/>
  <c r="F34" i="3"/>
  <c r="F31" i="3"/>
  <c r="E28" i="3"/>
  <c r="F15" i="3"/>
  <c r="E12" i="3"/>
  <c r="E37" i="3"/>
  <c r="E15" i="3"/>
  <c r="E111" i="3"/>
  <c r="F6" i="3"/>
  <c r="F106" i="3"/>
  <c r="E96" i="3"/>
  <c r="F84" i="3"/>
  <c r="F70" i="3"/>
  <c r="E60" i="3"/>
  <c r="F49" i="3"/>
  <c r="F27" i="3"/>
  <c r="E106" i="3"/>
  <c r="F94" i="3"/>
  <c r="E84" i="3"/>
  <c r="E70" i="3"/>
  <c r="F58" i="3"/>
  <c r="F55" i="3"/>
  <c r="F52" i="3"/>
  <c r="F36" i="3"/>
  <c r="F33" i="3"/>
  <c r="F30" i="3"/>
  <c r="B23" i="2"/>
  <c r="B6" i="2"/>
  <c r="B19" i="2" s="1"/>
  <c r="C19" i="2" s="1"/>
  <c r="F19" i="2" l="1"/>
  <c r="G19" i="2"/>
  <c r="B10" i="2"/>
  <c r="C10" i="2" s="1"/>
  <c r="B15" i="2"/>
  <c r="C15" i="2" s="1"/>
  <c r="B17" i="2"/>
  <c r="C17" i="2" s="1"/>
  <c r="B9" i="2"/>
  <c r="C9" i="2" s="1"/>
  <c r="B18" i="2"/>
  <c r="C18" i="2" s="1"/>
  <c r="B16" i="2"/>
  <c r="C16" i="2" s="1"/>
  <c r="B14" i="2"/>
  <c r="C14" i="2" s="1"/>
  <c r="B13" i="2"/>
  <c r="C13" i="2" s="1"/>
  <c r="B11" i="2"/>
  <c r="C11" i="2" s="1"/>
  <c r="B12" i="2"/>
  <c r="C12" i="2" s="1"/>
  <c r="G9" i="2" l="1"/>
  <c r="F9" i="2"/>
  <c r="G14" i="2"/>
  <c r="F14" i="2"/>
  <c r="F18" i="2"/>
  <c r="G18" i="2"/>
  <c r="F15" i="2"/>
  <c r="G15" i="2"/>
  <c r="F13" i="2"/>
  <c r="G13" i="2"/>
  <c r="G16" i="2"/>
  <c r="F16" i="2"/>
  <c r="G10" i="2"/>
  <c r="F10" i="2"/>
  <c r="F17" i="2"/>
  <c r="G17" i="2"/>
  <c r="F12" i="2"/>
  <c r="G12" i="2"/>
  <c r="F11" i="2"/>
  <c r="G11" i="2"/>
  <c r="B21" i="2" l="1"/>
  <c r="B24" i="2" s="1"/>
  <c r="B22" i="2"/>
  <c r="B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arkusz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Tabela poniżej ma 11 wierszy (i = 0..10), więc działa dla n = 10.</t>
        </r>
      </text>
    </comment>
  </commentList>
</comments>
</file>

<file path=xl/sharedStrings.xml><?xml version="1.0" encoding="utf-8"?>
<sst xmlns="http://schemas.openxmlformats.org/spreadsheetml/2006/main" count="44" uniqueCount="44">
  <si>
    <t>Bisekcja dla f(x) = cos(x) - x^2 na przedziale [0, 1]</t>
  </si>
  <si>
    <t>eps</t>
  </si>
  <si>
    <t>Dane wejściowe (żółte pola). Krok: c = (a+b)/2; jeśli f(a)·f(c) &lt; 0, to b = c, w przeciwnym razie a = c.</t>
  </si>
  <si>
    <t>a0</t>
  </si>
  <si>
    <t>b0</t>
  </si>
  <si>
    <t>k</t>
  </si>
  <si>
    <t>a</t>
  </si>
  <si>
    <t>b</t>
  </si>
  <si>
    <t>c</t>
  </si>
  <si>
    <t>f(a)</t>
  </si>
  <si>
    <t>f(b)</t>
  </si>
  <si>
    <t>f(c)</t>
  </si>
  <si>
    <t>(b-a)/2</t>
  </si>
  <si>
    <t>(b-a)/2 &lt; eps?</t>
  </si>
  <si>
    <t>Po 19 krokach</t>
  </si>
  <si>
    <t>r = (a+b)/2</t>
  </si>
  <si>
    <t>-r</t>
  </si>
  <si>
    <t>Liczba iteracji</t>
  </si>
  <si>
    <t>Całkowanie numeryczne: P = całka z (cos(x) - x^2) od -r do r</t>
  </si>
  <si>
    <t>a = -r</t>
  </si>
  <si>
    <t>b = r</t>
  </si>
  <si>
    <t>n</t>
  </si>
  <si>
    <t>h = (b-a)/n</t>
  </si>
  <si>
    <t>i</t>
  </si>
  <si>
    <t>x_i</t>
  </si>
  <si>
    <t>f(x_i)</t>
  </si>
  <si>
    <t>waga (trapezy)</t>
  </si>
  <si>
    <t>waga (Simpson)</t>
  </si>
  <si>
    <t>waga·f (trapezy)</t>
  </si>
  <si>
    <t>waga·f (Simpson)</t>
  </si>
  <si>
    <t>Trapezy T_n = h·suma</t>
  </si>
  <si>
    <t>Simpson S_n = h/3·suma</t>
  </si>
  <si>
    <t>Pole dokładne P = 2sin(r) - 2r^3/3</t>
  </si>
  <si>
    <t>Błąd trapezów |T_n - P|</t>
  </si>
  <si>
    <t>Błąd Simpsona |S_n - P|</t>
  </si>
  <si>
    <t>Wykres: y = x^2, y = cos(x) i obszar między nimi</t>
  </si>
  <si>
    <t>r</t>
  </si>
  <si>
    <t>x</t>
  </si>
  <si>
    <t>x^2</t>
  </si>
  <si>
    <t>cos(x)</t>
  </si>
  <si>
    <t>x (obszar)</t>
  </si>
  <si>
    <t>y (obszar)</t>
  </si>
  <si>
    <t>x (przecięcie)</t>
  </si>
  <si>
    <t>y (przecięcie)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</si>
</sst>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E+00"/>
    <numFmt numFmtId="165" formatCode="0.000000"/>
    <numFmt numFmtId="166" formatCode="0.000"/>
  </numFmts>
  <fonts count="7" x14ac:knownFonts="1">
    <font>
      <sz val="11"/>
      <color theme="1"/>
      <name val="Calibri"/>
      <family val="2"/>
      <scheme val="minor"/>
    </font>
    <font>
      <b/>
      <sz val="13"/>
      <name val="Arial"/>
    </font>
    <font>
      <b/>
      <sz val="10"/>
      <name val="Arial"/>
    </font>
    <font>
      <sz val="10"/>
      <color rgb="FF0000FF"/>
      <name val="Arial"/>
    </font>
    <font>
      <i/>
      <sz val="9"/>
      <color rgb="FF666666"/>
      <name val="Arial"/>
    </font>
    <font>
      <sz val="10"/>
      <name val="Arial"/>
    </font>
    <font>
      <sz val="10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E8E8E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64" fontId="3" fillId="2" borderId="0" xfId="0" applyNumberFormat="1" applyFont="1" applyFill="1"/>
    <xf numFmtId="0" fontId="4" fillId="0" borderId="0" xfId="0" applyFont="1"/>
    <xf numFmtId="0" fontId="3" fillId="2" borderId="0" xfId="0" applyFont="1" applyFill="1"/>
    <xf numFmtId="0" fontId="2" fillId="3" borderId="1" xfId="0" applyFont="1" applyFill="1" applyBorder="1" applyAlignment="1">
      <alignment horizontal="center"/>
    </xf>
    <xf numFmtId="0" fontId="5" fillId="0" borderId="0" xfId="0" applyFont="1"/>
    <xf numFmtId="165" fontId="5" fillId="0" borderId="0" xfId="0" applyNumberFormat="1" applyFont="1"/>
    <xf numFmtId="11" fontId="5" fillId="0" borderId="0" xfId="0" applyNumberFormat="1" applyFont="1"/>
    <xf numFmtId="0" fontId="5" fillId="0" borderId="0" xfId="0" applyFont="1" applyAlignment="1">
      <alignment horizontal="center"/>
    </xf>
    <xf numFmtId="165" fontId="2" fillId="0" borderId="0" xfId="0" applyNumberFormat="1" applyFont="1"/>
    <xf numFmtId="165" fontId="6" fillId="0" borderId="0" xfId="0" applyNumberFormat="1" applyFont="1"/>
    <xf numFmtId="1" fontId="3" fillId="2" borderId="0" xfId="0" applyNumberFormat="1" applyFont="1" applyFill="1"/>
    <xf numFmtId="0" fontId="2" fillId="3" borderId="0" xfId="0" applyFont="1" applyFill="1"/>
    <xf numFmtId="166" fontId="5" fillId="0" borderId="0" xfId="0" applyNumberFormat="1" applyFont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pPr>
              <a:defRPr/>
            </a:pPr>
            <a:r>
              <a:t>Obszar między y = x² a y = cos x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obszar P</c:v>
          </c:tx>
          <c:spPr>
            <a:ln w="19050">
              <a:solidFill>
                <a:srgbClr val="9DB4F0"/>
              </a:solidFill>
              <a:prstDash val="solid"/>
            </a:ln>
          </c:spPr>
          <c:marker>
            <c:symbol val="none"/>
          </c:marker>
          <c:xVal>
            <c:numRef>
              <c:f>Wykres!$E$6:$E$127</c:f>
              <c:numCache>
                <c:formatCode>0.000</c:formatCode>
                <c:ptCount val="122"/>
                <c:pt idx="0">
                  <c:v>-0.82413196563720703</c:v>
                </c:pt>
                <c:pt idx="1">
                  <c:v>-0.82413196563720703</c:v>
                </c:pt>
                <c:pt idx="3">
                  <c:v>-0.78292536735534668</c:v>
                </c:pt>
                <c:pt idx="4">
                  <c:v>-0.78292536735534668</c:v>
                </c:pt>
                <c:pt idx="6">
                  <c:v>-0.74171876907348633</c:v>
                </c:pt>
                <c:pt idx="7">
                  <c:v>-0.74171876907348633</c:v>
                </c:pt>
                <c:pt idx="9">
                  <c:v>-0.70051217079162598</c:v>
                </c:pt>
                <c:pt idx="10">
                  <c:v>-0.70051217079162598</c:v>
                </c:pt>
                <c:pt idx="12">
                  <c:v>-0.65930557250976563</c:v>
                </c:pt>
                <c:pt idx="13">
                  <c:v>-0.65930557250976563</c:v>
                </c:pt>
                <c:pt idx="15">
                  <c:v>-0.61809897422790527</c:v>
                </c:pt>
                <c:pt idx="16">
                  <c:v>-0.61809897422790527</c:v>
                </c:pt>
                <c:pt idx="18">
                  <c:v>-0.57689237594604492</c:v>
                </c:pt>
                <c:pt idx="19">
                  <c:v>-0.57689237594604492</c:v>
                </c:pt>
                <c:pt idx="21">
                  <c:v>-0.53568577766418457</c:v>
                </c:pt>
                <c:pt idx="22">
                  <c:v>-0.53568577766418457</c:v>
                </c:pt>
                <c:pt idx="24">
                  <c:v>-0.49447917938232422</c:v>
                </c:pt>
                <c:pt idx="25">
                  <c:v>-0.49447917938232422</c:v>
                </c:pt>
                <c:pt idx="27">
                  <c:v>-0.45327258110046387</c:v>
                </c:pt>
                <c:pt idx="28">
                  <c:v>-0.45327258110046387</c:v>
                </c:pt>
                <c:pt idx="30">
                  <c:v>-0.41206598281860352</c:v>
                </c:pt>
                <c:pt idx="31">
                  <c:v>-0.41206598281860352</c:v>
                </c:pt>
                <c:pt idx="33">
                  <c:v>-0.37085938453674316</c:v>
                </c:pt>
                <c:pt idx="34">
                  <c:v>-0.37085938453674316</c:v>
                </c:pt>
                <c:pt idx="36">
                  <c:v>-0.32965278625488281</c:v>
                </c:pt>
                <c:pt idx="37">
                  <c:v>-0.32965278625488281</c:v>
                </c:pt>
                <c:pt idx="39">
                  <c:v>-0.28844618797302246</c:v>
                </c:pt>
                <c:pt idx="40">
                  <c:v>-0.28844618797302246</c:v>
                </c:pt>
                <c:pt idx="42">
                  <c:v>-0.24723958969116211</c:v>
                </c:pt>
                <c:pt idx="43">
                  <c:v>-0.24723958969116211</c:v>
                </c:pt>
                <c:pt idx="45">
                  <c:v>-0.20603299140930176</c:v>
                </c:pt>
                <c:pt idx="46">
                  <c:v>-0.20603299140930176</c:v>
                </c:pt>
                <c:pt idx="48">
                  <c:v>-0.16482639312744141</c:v>
                </c:pt>
                <c:pt idx="49">
                  <c:v>-0.16482639312744141</c:v>
                </c:pt>
                <c:pt idx="51">
                  <c:v>-0.12361979484558105</c:v>
                </c:pt>
                <c:pt idx="52">
                  <c:v>-0.12361979484558105</c:v>
                </c:pt>
                <c:pt idx="54">
                  <c:v>-8.2413196563720703E-2</c:v>
                </c:pt>
                <c:pt idx="55">
                  <c:v>-8.2413196563720703E-2</c:v>
                </c:pt>
                <c:pt idx="57">
                  <c:v>-4.1206598281860352E-2</c:v>
                </c:pt>
                <c:pt idx="58">
                  <c:v>-4.1206598281860352E-2</c:v>
                </c:pt>
                <c:pt idx="60">
                  <c:v>0</c:v>
                </c:pt>
                <c:pt idx="61">
                  <c:v>0</c:v>
                </c:pt>
                <c:pt idx="63">
                  <c:v>4.1206598281860352E-2</c:v>
                </c:pt>
                <c:pt idx="64">
                  <c:v>4.1206598281860352E-2</c:v>
                </c:pt>
                <c:pt idx="66">
                  <c:v>8.2413196563720703E-2</c:v>
                </c:pt>
                <c:pt idx="67">
                  <c:v>8.2413196563720703E-2</c:v>
                </c:pt>
                <c:pt idx="69">
                  <c:v>0.12361979484558105</c:v>
                </c:pt>
                <c:pt idx="70">
                  <c:v>0.12361979484558105</c:v>
                </c:pt>
                <c:pt idx="72">
                  <c:v>0.16482639312744141</c:v>
                </c:pt>
                <c:pt idx="73">
                  <c:v>0.16482639312744141</c:v>
                </c:pt>
                <c:pt idx="75">
                  <c:v>0.20603299140930176</c:v>
                </c:pt>
                <c:pt idx="76">
                  <c:v>0.20603299140930176</c:v>
                </c:pt>
                <c:pt idx="78">
                  <c:v>0.24723958969116211</c:v>
                </c:pt>
                <c:pt idx="79">
                  <c:v>0.24723958969116211</c:v>
                </c:pt>
                <c:pt idx="81">
                  <c:v>0.28844618797302246</c:v>
                </c:pt>
                <c:pt idx="82">
                  <c:v>0.28844618797302246</c:v>
                </c:pt>
                <c:pt idx="84">
                  <c:v>0.32965278625488281</c:v>
                </c:pt>
                <c:pt idx="85">
                  <c:v>0.32965278625488281</c:v>
                </c:pt>
                <c:pt idx="87">
                  <c:v>0.37085938453674316</c:v>
                </c:pt>
                <c:pt idx="88">
                  <c:v>0.37085938453674316</c:v>
                </c:pt>
                <c:pt idx="90">
                  <c:v>0.41206598281860352</c:v>
                </c:pt>
                <c:pt idx="91">
                  <c:v>0.41206598281860352</c:v>
                </c:pt>
                <c:pt idx="93">
                  <c:v>0.45327258110046387</c:v>
                </c:pt>
                <c:pt idx="94">
                  <c:v>0.45327258110046387</c:v>
                </c:pt>
                <c:pt idx="96">
                  <c:v>0.49447917938232422</c:v>
                </c:pt>
                <c:pt idx="97">
                  <c:v>0.49447917938232422</c:v>
                </c:pt>
                <c:pt idx="99">
                  <c:v>0.53568577766418457</c:v>
                </c:pt>
                <c:pt idx="100">
                  <c:v>0.53568577766418457</c:v>
                </c:pt>
                <c:pt idx="102">
                  <c:v>0.57689237594604492</c:v>
                </c:pt>
                <c:pt idx="103">
                  <c:v>0.57689237594604492</c:v>
                </c:pt>
                <c:pt idx="105">
                  <c:v>0.61809897422790527</c:v>
                </c:pt>
                <c:pt idx="106">
                  <c:v>0.61809897422790527</c:v>
                </c:pt>
                <c:pt idx="108">
                  <c:v>0.65930557250976563</c:v>
                </c:pt>
                <c:pt idx="109">
                  <c:v>0.65930557250976563</c:v>
                </c:pt>
                <c:pt idx="111">
                  <c:v>0.70051217079162598</c:v>
                </c:pt>
                <c:pt idx="112">
                  <c:v>0.70051217079162598</c:v>
                </c:pt>
                <c:pt idx="114">
                  <c:v>0.74171876907348633</c:v>
                </c:pt>
                <c:pt idx="115">
                  <c:v>0.74171876907348633</c:v>
                </c:pt>
                <c:pt idx="117">
                  <c:v>0.78292536735534668</c:v>
                </c:pt>
                <c:pt idx="118">
                  <c:v>0.78292536735534668</c:v>
                </c:pt>
                <c:pt idx="120">
                  <c:v>0.82413196563720703</c:v>
                </c:pt>
                <c:pt idx="121">
                  <c:v>0.82413196563720703</c:v>
                </c:pt>
              </c:numCache>
            </c:numRef>
          </c:xVal>
          <c:yVal>
            <c:numRef>
              <c:f>Wykres!$F$6:$F$127</c:f>
              <c:numCache>
                <c:formatCode>0.000</c:formatCode>
                <c:ptCount val="122"/>
                <c:pt idx="0">
                  <c:v>0.67919349678504659</c:v>
                </c:pt>
                <c:pt idx="1">
                  <c:v>0.67919432261909629</c:v>
                </c:pt>
                <c:pt idx="3">
                  <c:v>0.61297213084850455</c:v>
                </c:pt>
                <c:pt idx="4">
                  <c:v>0.70885314837546565</c:v>
                </c:pt>
                <c:pt idx="6">
                  <c:v>0.55014673239588774</c:v>
                </c:pt>
                <c:pt idx="7">
                  <c:v>0.73730852331157326</c:v>
                </c:pt>
                <c:pt idx="9">
                  <c:v>0.49071730142719616</c:v>
                </c:pt>
                <c:pt idx="10">
                  <c:v>0.76451213749977576</c:v>
                </c:pt>
                <c:pt idx="12">
                  <c:v>0.43468383794242982</c:v>
                </c:pt>
                <c:pt idx="13">
                  <c:v>0.79041780618109481</c:v>
                </c:pt>
                <c:pt idx="15">
                  <c:v>0.38204634194158871</c:v>
                </c:pt>
                <c:pt idx="16">
                  <c:v>0.8149815481750905</c:v>
                </c:pt>
                <c:pt idx="18">
                  <c:v>0.33280481342467283</c:v>
                </c:pt>
                <c:pt idx="19">
                  <c:v>0.83816166054862484</c:v>
                </c:pt>
                <c:pt idx="21">
                  <c:v>0.28695925239168218</c:v>
                </c:pt>
                <c:pt idx="22">
                  <c:v>0.85991878941674504</c:v>
                </c:pt>
                <c:pt idx="24">
                  <c:v>0.24450965884261677</c:v>
                </c:pt>
                <c:pt idx="25">
                  <c:v>0.88021599675548523</c:v>
                </c:pt>
                <c:pt idx="27">
                  <c:v>0.20545603277747659</c:v>
                </c:pt>
                <c:pt idx="28">
                  <c:v>0.89901882311315684</c:v>
                </c:pt>
                <c:pt idx="30">
                  <c:v>0.16979837419626165</c:v>
                </c:pt>
                <c:pt idx="31">
                  <c:v>0.91629534611365793</c:v>
                </c:pt>
                <c:pt idx="33">
                  <c:v>0.13753668309897193</c:v>
                </c:pt>
                <c:pt idx="34">
                  <c:v>0.93201623465247996</c:v>
                </c:pt>
                <c:pt idx="36">
                  <c:v>0.10867095948560745</c:v>
                </c:pt>
                <c:pt idx="37">
                  <c:v>0.94615479869339958</c:v>
                </c:pt>
                <c:pt idx="39">
                  <c:v>8.3201203356168207E-2</c:v>
                </c:pt>
                <c:pt idx="40">
                  <c:v>0.95868703458131344</c:v>
                </c:pt>
                <c:pt idx="42">
                  <c:v>6.1127414710654193E-2</c:v>
                </c:pt>
                <c:pt idx="43">
                  <c:v>0.96959166579428813</c:v>
                </c:pt>
                <c:pt idx="45">
                  <c:v>4.2449593549065412E-2</c:v>
                </c:pt>
                <c:pt idx="46">
                  <c:v>0.97885017906563665</c:v>
                </c:pt>
                <c:pt idx="48">
                  <c:v>2.7167739871401864E-2</c:v>
                </c:pt>
                <c:pt idx="49">
                  <c:v>0.98644685581469604</c:v>
                </c:pt>
                <c:pt idx="51">
                  <c:v>1.5281853677663548E-2</c:v>
                </c:pt>
                <c:pt idx="52">
                  <c:v>0.99236879883294604</c:v>
                </c:pt>
                <c:pt idx="54">
                  <c:v>6.7919349678504659E-3</c:v>
                </c:pt>
                <c:pt idx="55">
                  <c:v>0.9966059541801604</c:v>
                </c:pt>
                <c:pt idx="57">
                  <c:v>1.6979837419626165E-3</c:v>
                </c:pt>
                <c:pt idx="58">
                  <c:v>0.99915112825341901</c:v>
                </c:pt>
                <c:pt idx="60">
                  <c:v>0</c:v>
                </c:pt>
                <c:pt idx="61">
                  <c:v>1</c:v>
                </c:pt>
                <c:pt idx="63">
                  <c:v>1.6979837419626165E-3</c:v>
                </c:pt>
                <c:pt idx="64">
                  <c:v>0.99915112825341901</c:v>
                </c:pt>
                <c:pt idx="66">
                  <c:v>6.7919349678504659E-3</c:v>
                </c:pt>
                <c:pt idx="67">
                  <c:v>0.9966059541801604</c:v>
                </c:pt>
                <c:pt idx="69">
                  <c:v>1.5281853677663548E-2</c:v>
                </c:pt>
                <c:pt idx="70">
                  <c:v>0.99236879883294604</c:v>
                </c:pt>
                <c:pt idx="72">
                  <c:v>2.7167739871401864E-2</c:v>
                </c:pt>
                <c:pt idx="73">
                  <c:v>0.98644685581469604</c:v>
                </c:pt>
                <c:pt idx="75">
                  <c:v>4.2449593549065412E-2</c:v>
                </c:pt>
                <c:pt idx="76">
                  <c:v>0.97885017906563665</c:v>
                </c:pt>
                <c:pt idx="78">
                  <c:v>6.1127414710654193E-2</c:v>
                </c:pt>
                <c:pt idx="79">
                  <c:v>0.96959166579428813</c:v>
                </c:pt>
                <c:pt idx="81">
                  <c:v>8.3201203356168207E-2</c:v>
                </c:pt>
                <c:pt idx="82">
                  <c:v>0.95868703458131344</c:v>
                </c:pt>
                <c:pt idx="84">
                  <c:v>0.10867095948560745</c:v>
                </c:pt>
                <c:pt idx="85">
                  <c:v>0.94615479869339958</c:v>
                </c:pt>
                <c:pt idx="87">
                  <c:v>0.13753668309897193</c:v>
                </c:pt>
                <c:pt idx="88">
                  <c:v>0.93201623465247996</c:v>
                </c:pt>
                <c:pt idx="90">
                  <c:v>0.16979837419626165</c:v>
                </c:pt>
                <c:pt idx="91">
                  <c:v>0.91629534611365793</c:v>
                </c:pt>
                <c:pt idx="93">
                  <c:v>0.20545603277747659</c:v>
                </c:pt>
                <c:pt idx="94">
                  <c:v>0.89901882311315684</c:v>
                </c:pt>
                <c:pt idx="96">
                  <c:v>0.24450965884261677</c:v>
                </c:pt>
                <c:pt idx="97">
                  <c:v>0.88021599675548523</c:v>
                </c:pt>
                <c:pt idx="99">
                  <c:v>0.28695925239168218</c:v>
                </c:pt>
                <c:pt idx="100">
                  <c:v>0.85991878941674504</c:v>
                </c:pt>
                <c:pt idx="102">
                  <c:v>0.33280481342467283</c:v>
                </c:pt>
                <c:pt idx="103">
                  <c:v>0.83816166054862484</c:v>
                </c:pt>
                <c:pt idx="105">
                  <c:v>0.38204634194158871</c:v>
                </c:pt>
                <c:pt idx="106">
                  <c:v>0.8149815481750905</c:v>
                </c:pt>
                <c:pt idx="108">
                  <c:v>0.43468383794242982</c:v>
                </c:pt>
                <c:pt idx="109">
                  <c:v>0.79041780618109481</c:v>
                </c:pt>
                <c:pt idx="111">
                  <c:v>0.49071730142719616</c:v>
                </c:pt>
                <c:pt idx="112">
                  <c:v>0.76451213749977576</c:v>
                </c:pt>
                <c:pt idx="114">
                  <c:v>0.55014673239588774</c:v>
                </c:pt>
                <c:pt idx="115">
                  <c:v>0.73730852331157326</c:v>
                </c:pt>
                <c:pt idx="117">
                  <c:v>0.61297213084850455</c:v>
                </c:pt>
                <c:pt idx="118">
                  <c:v>0.70885314837546565</c:v>
                </c:pt>
                <c:pt idx="120">
                  <c:v>0.67919349678504659</c:v>
                </c:pt>
                <c:pt idx="121">
                  <c:v>0.67919432261909629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F-4FA9-BE43-CC1879AE77F5}"/>
            </c:ext>
          </c:extLst>
        </c:ser>
        <c:ser>
          <c:idx val="1"/>
          <c:order val="1"/>
          <c:tx>
            <c:v>y = cos x</c:v>
          </c:tx>
          <c:spPr>
            <a:ln w="28575">
              <a:solidFill>
                <a:srgbClr val="2F5BD3"/>
              </a:solidFill>
              <a:prstDash val="solid"/>
            </a:ln>
          </c:spPr>
          <c:marker>
            <c:symbol val="none"/>
          </c:marker>
          <c:xVal>
            <c:numRef>
              <c:f>Wykres!$A$6:$A$58</c:f>
              <c:numCache>
                <c:formatCode>0.000</c:formatCode>
                <c:ptCount val="53"/>
                <c:pt idx="0">
                  <c:v>-1.3</c:v>
                </c:pt>
                <c:pt idx="1">
                  <c:v>-1.25</c:v>
                </c:pt>
                <c:pt idx="2">
                  <c:v>-1.2</c:v>
                </c:pt>
                <c:pt idx="3">
                  <c:v>-1.1499999999999999</c:v>
                </c:pt>
                <c:pt idx="4">
                  <c:v>-1.1000000000000001</c:v>
                </c:pt>
                <c:pt idx="5">
                  <c:v>-1.05</c:v>
                </c:pt>
                <c:pt idx="6">
                  <c:v>-1</c:v>
                </c:pt>
                <c:pt idx="7">
                  <c:v>-0.95</c:v>
                </c:pt>
                <c:pt idx="8">
                  <c:v>-0.9</c:v>
                </c:pt>
                <c:pt idx="9">
                  <c:v>-0.85000000000000009</c:v>
                </c:pt>
                <c:pt idx="10">
                  <c:v>-0.8</c:v>
                </c:pt>
                <c:pt idx="11">
                  <c:v>-0.75</c:v>
                </c:pt>
                <c:pt idx="12">
                  <c:v>-0.7</c:v>
                </c:pt>
                <c:pt idx="13">
                  <c:v>-0.65</c:v>
                </c:pt>
                <c:pt idx="14">
                  <c:v>-0.6</c:v>
                </c:pt>
                <c:pt idx="15">
                  <c:v>-0.55000000000000004</c:v>
                </c:pt>
                <c:pt idx="16">
                  <c:v>-0.5</c:v>
                </c:pt>
                <c:pt idx="17">
                  <c:v>-0.44999999999999996</c:v>
                </c:pt>
                <c:pt idx="18">
                  <c:v>-0.4</c:v>
                </c:pt>
                <c:pt idx="19">
                  <c:v>-0.35</c:v>
                </c:pt>
                <c:pt idx="20">
                  <c:v>-0.30000000000000004</c:v>
                </c:pt>
                <c:pt idx="21">
                  <c:v>-0.25</c:v>
                </c:pt>
                <c:pt idx="22">
                  <c:v>-0.19999999999999996</c:v>
                </c:pt>
                <c:pt idx="23">
                  <c:v>-0.14999999999999991</c:v>
                </c:pt>
                <c:pt idx="24">
                  <c:v>-9.9999999999999867E-2</c:v>
                </c:pt>
                <c:pt idx="25">
                  <c:v>-5.0000000000000044E-2</c:v>
                </c:pt>
                <c:pt idx="26">
                  <c:v>0</c:v>
                </c:pt>
                <c:pt idx="27">
                  <c:v>5.0000000000000044E-2</c:v>
                </c:pt>
                <c:pt idx="28">
                  <c:v>0.10000000000000009</c:v>
                </c:pt>
                <c:pt idx="29">
                  <c:v>0.15000000000000013</c:v>
                </c:pt>
                <c:pt idx="30">
                  <c:v>0.19999999999999996</c:v>
                </c:pt>
                <c:pt idx="31">
                  <c:v>0.25</c:v>
                </c:pt>
                <c:pt idx="32">
                  <c:v>0.30000000000000004</c:v>
                </c:pt>
                <c:pt idx="33">
                  <c:v>0.35000000000000009</c:v>
                </c:pt>
                <c:pt idx="34">
                  <c:v>0.40000000000000013</c:v>
                </c:pt>
                <c:pt idx="35">
                  <c:v>0.44999999999999996</c:v>
                </c:pt>
                <c:pt idx="36">
                  <c:v>0.5</c:v>
                </c:pt>
                <c:pt idx="37">
                  <c:v>0.55000000000000004</c:v>
                </c:pt>
                <c:pt idx="38">
                  <c:v>0.60000000000000009</c:v>
                </c:pt>
                <c:pt idx="39">
                  <c:v>0.65000000000000013</c:v>
                </c:pt>
                <c:pt idx="40">
                  <c:v>0.7</c:v>
                </c:pt>
                <c:pt idx="41">
                  <c:v>0.75000000000000022</c:v>
                </c:pt>
                <c:pt idx="42">
                  <c:v>0.8</c:v>
                </c:pt>
                <c:pt idx="43">
                  <c:v>0.84999999999999987</c:v>
                </c:pt>
                <c:pt idx="44">
                  <c:v>0.90000000000000013</c:v>
                </c:pt>
                <c:pt idx="45">
                  <c:v>0.95</c:v>
                </c:pt>
                <c:pt idx="46">
                  <c:v>1.0000000000000002</c:v>
                </c:pt>
                <c:pt idx="47">
                  <c:v>1.05</c:v>
                </c:pt>
                <c:pt idx="48">
                  <c:v>1.1000000000000003</c:v>
                </c:pt>
                <c:pt idx="49">
                  <c:v>1.1500000000000001</c:v>
                </c:pt>
                <c:pt idx="50">
                  <c:v>1.2</c:v>
                </c:pt>
                <c:pt idx="51">
                  <c:v>1.2500000000000002</c:v>
                </c:pt>
                <c:pt idx="52">
                  <c:v>1.3</c:v>
                </c:pt>
              </c:numCache>
            </c:numRef>
          </c:xVal>
          <c:yVal>
            <c:numRef>
              <c:f>Wykres!$C$6:$C$58</c:f>
              <c:numCache>
                <c:formatCode>0.000</c:formatCode>
                <c:ptCount val="53"/>
                <c:pt idx="0">
                  <c:v>0.26749882862458735</c:v>
                </c:pt>
                <c:pt idx="1">
                  <c:v>0.31532236239526867</c:v>
                </c:pt>
                <c:pt idx="2">
                  <c:v>0.36235775447667362</c:v>
                </c:pt>
                <c:pt idx="3">
                  <c:v>0.40848744088415739</c:v>
                </c:pt>
                <c:pt idx="4">
                  <c:v>0.45359612142557731</c:v>
                </c:pt>
                <c:pt idx="5">
                  <c:v>0.49757104789172696</c:v>
                </c:pt>
                <c:pt idx="6">
                  <c:v>0.54030230586813977</c:v>
                </c:pt>
                <c:pt idx="7">
                  <c:v>0.58168308946388358</c:v>
                </c:pt>
                <c:pt idx="8">
                  <c:v>0.62160996827066439</c:v>
                </c:pt>
                <c:pt idx="9">
                  <c:v>0.65998314588498208</c:v>
                </c:pt>
                <c:pt idx="10">
                  <c:v>0.69670670934716539</c:v>
                </c:pt>
                <c:pt idx="11">
                  <c:v>0.7316888688738209</c:v>
                </c:pt>
                <c:pt idx="12">
                  <c:v>0.7648421872844885</c:v>
                </c:pt>
                <c:pt idx="13">
                  <c:v>0.79608379854905587</c:v>
                </c:pt>
                <c:pt idx="14">
                  <c:v>0.82533561490967833</c:v>
                </c:pt>
                <c:pt idx="15">
                  <c:v>0.85252452205950568</c:v>
                </c:pt>
                <c:pt idx="16">
                  <c:v>0.87758256189037276</c:v>
                </c:pt>
                <c:pt idx="17">
                  <c:v>0.90044710235267689</c:v>
                </c:pt>
                <c:pt idx="18">
                  <c:v>0.9210609940028851</c:v>
                </c:pt>
                <c:pt idx="19">
                  <c:v>0.93937271284737889</c:v>
                </c:pt>
                <c:pt idx="20">
                  <c:v>0.95533648912560598</c:v>
                </c:pt>
                <c:pt idx="21">
                  <c:v>0.96891242171064473</c:v>
                </c:pt>
                <c:pt idx="22">
                  <c:v>0.98006657784124163</c:v>
                </c:pt>
                <c:pt idx="23">
                  <c:v>0.98877107793604235</c:v>
                </c:pt>
                <c:pt idx="24">
                  <c:v>0.99500416527802582</c:v>
                </c:pt>
                <c:pt idx="25">
                  <c:v>0.99875026039496628</c:v>
                </c:pt>
                <c:pt idx="26">
                  <c:v>1</c:v>
                </c:pt>
                <c:pt idx="27">
                  <c:v>0.99875026039496628</c:v>
                </c:pt>
                <c:pt idx="28">
                  <c:v>0.99500416527802571</c:v>
                </c:pt>
                <c:pt idx="29">
                  <c:v>0.98877107793604224</c:v>
                </c:pt>
                <c:pt idx="30">
                  <c:v>0.98006657784124163</c:v>
                </c:pt>
                <c:pt idx="31">
                  <c:v>0.96891242171064473</c:v>
                </c:pt>
                <c:pt idx="32">
                  <c:v>0.95533648912560598</c:v>
                </c:pt>
                <c:pt idx="33">
                  <c:v>0.93937271284737889</c:v>
                </c:pt>
                <c:pt idx="34">
                  <c:v>0.92106099400288499</c:v>
                </c:pt>
                <c:pt idx="35">
                  <c:v>0.90044710235267689</c:v>
                </c:pt>
                <c:pt idx="36">
                  <c:v>0.87758256189037276</c:v>
                </c:pt>
                <c:pt idx="37">
                  <c:v>0.85252452205950568</c:v>
                </c:pt>
                <c:pt idx="38">
                  <c:v>0.82533561490967822</c:v>
                </c:pt>
                <c:pt idx="39">
                  <c:v>0.79608379854905575</c:v>
                </c:pt>
                <c:pt idx="40">
                  <c:v>0.7648421872844885</c:v>
                </c:pt>
                <c:pt idx="41">
                  <c:v>0.73168886887382079</c:v>
                </c:pt>
                <c:pt idx="42">
                  <c:v>0.69670670934716539</c:v>
                </c:pt>
                <c:pt idx="43">
                  <c:v>0.6599831458849823</c:v>
                </c:pt>
                <c:pt idx="44">
                  <c:v>0.62160996827066439</c:v>
                </c:pt>
                <c:pt idx="45">
                  <c:v>0.58168308946388358</c:v>
                </c:pt>
                <c:pt idx="46">
                  <c:v>0.54030230586813954</c:v>
                </c:pt>
                <c:pt idx="47">
                  <c:v>0.49757104789172696</c:v>
                </c:pt>
                <c:pt idx="48">
                  <c:v>0.45359612142557709</c:v>
                </c:pt>
                <c:pt idx="49">
                  <c:v>0.40848744088415717</c:v>
                </c:pt>
                <c:pt idx="50">
                  <c:v>0.36235775447667362</c:v>
                </c:pt>
                <c:pt idx="51">
                  <c:v>0.31532236239526845</c:v>
                </c:pt>
                <c:pt idx="52">
                  <c:v>0.26749882862458735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4F-4FA9-BE43-CC1879AE77F5}"/>
            </c:ext>
          </c:extLst>
        </c:ser>
        <c:ser>
          <c:idx val="2"/>
          <c:order val="2"/>
          <c:tx>
            <c:v>y = x²</c:v>
          </c:tx>
          <c:spPr>
            <a:ln w="28575">
              <a:solidFill>
                <a:srgbClr val="111111"/>
              </a:solidFill>
              <a:prstDash val="solid"/>
            </a:ln>
          </c:spPr>
          <c:marker>
            <c:symbol val="none"/>
          </c:marker>
          <c:xVal>
            <c:numRef>
              <c:f>Wykres!$A$6:$A$58</c:f>
              <c:numCache>
                <c:formatCode>0.000</c:formatCode>
                <c:ptCount val="53"/>
                <c:pt idx="0">
                  <c:v>-1.3</c:v>
                </c:pt>
                <c:pt idx="1">
                  <c:v>-1.25</c:v>
                </c:pt>
                <c:pt idx="2">
                  <c:v>-1.2</c:v>
                </c:pt>
                <c:pt idx="3">
                  <c:v>-1.1499999999999999</c:v>
                </c:pt>
                <c:pt idx="4">
                  <c:v>-1.1000000000000001</c:v>
                </c:pt>
                <c:pt idx="5">
                  <c:v>-1.05</c:v>
                </c:pt>
                <c:pt idx="6">
                  <c:v>-1</c:v>
                </c:pt>
                <c:pt idx="7">
                  <c:v>-0.95</c:v>
                </c:pt>
                <c:pt idx="8">
                  <c:v>-0.9</c:v>
                </c:pt>
                <c:pt idx="9">
                  <c:v>-0.85000000000000009</c:v>
                </c:pt>
                <c:pt idx="10">
                  <c:v>-0.8</c:v>
                </c:pt>
                <c:pt idx="11">
                  <c:v>-0.75</c:v>
                </c:pt>
                <c:pt idx="12">
                  <c:v>-0.7</c:v>
                </c:pt>
                <c:pt idx="13">
                  <c:v>-0.65</c:v>
                </c:pt>
                <c:pt idx="14">
                  <c:v>-0.6</c:v>
                </c:pt>
                <c:pt idx="15">
                  <c:v>-0.55000000000000004</c:v>
                </c:pt>
                <c:pt idx="16">
                  <c:v>-0.5</c:v>
                </c:pt>
                <c:pt idx="17">
                  <c:v>-0.44999999999999996</c:v>
                </c:pt>
                <c:pt idx="18">
                  <c:v>-0.4</c:v>
                </c:pt>
                <c:pt idx="19">
                  <c:v>-0.35</c:v>
                </c:pt>
                <c:pt idx="20">
                  <c:v>-0.30000000000000004</c:v>
                </c:pt>
                <c:pt idx="21">
                  <c:v>-0.25</c:v>
                </c:pt>
                <c:pt idx="22">
                  <c:v>-0.19999999999999996</c:v>
                </c:pt>
                <c:pt idx="23">
                  <c:v>-0.14999999999999991</c:v>
                </c:pt>
                <c:pt idx="24">
                  <c:v>-9.9999999999999867E-2</c:v>
                </c:pt>
                <c:pt idx="25">
                  <c:v>-5.0000000000000044E-2</c:v>
                </c:pt>
                <c:pt idx="26">
                  <c:v>0</c:v>
                </c:pt>
                <c:pt idx="27">
                  <c:v>5.0000000000000044E-2</c:v>
                </c:pt>
                <c:pt idx="28">
                  <c:v>0.10000000000000009</c:v>
                </c:pt>
                <c:pt idx="29">
                  <c:v>0.15000000000000013</c:v>
                </c:pt>
                <c:pt idx="30">
                  <c:v>0.19999999999999996</c:v>
                </c:pt>
                <c:pt idx="31">
                  <c:v>0.25</c:v>
                </c:pt>
                <c:pt idx="32">
                  <c:v>0.30000000000000004</c:v>
                </c:pt>
                <c:pt idx="33">
                  <c:v>0.35000000000000009</c:v>
                </c:pt>
                <c:pt idx="34">
                  <c:v>0.40000000000000013</c:v>
                </c:pt>
                <c:pt idx="35">
                  <c:v>0.44999999999999996</c:v>
                </c:pt>
                <c:pt idx="36">
                  <c:v>0.5</c:v>
                </c:pt>
                <c:pt idx="37">
                  <c:v>0.55000000000000004</c:v>
                </c:pt>
                <c:pt idx="38">
                  <c:v>0.60000000000000009</c:v>
                </c:pt>
                <c:pt idx="39">
                  <c:v>0.65000000000000013</c:v>
                </c:pt>
                <c:pt idx="40">
                  <c:v>0.7</c:v>
                </c:pt>
                <c:pt idx="41">
                  <c:v>0.75000000000000022</c:v>
                </c:pt>
                <c:pt idx="42">
                  <c:v>0.8</c:v>
                </c:pt>
                <c:pt idx="43">
                  <c:v>0.84999999999999987</c:v>
                </c:pt>
                <c:pt idx="44">
                  <c:v>0.90000000000000013</c:v>
                </c:pt>
                <c:pt idx="45">
                  <c:v>0.95</c:v>
                </c:pt>
                <c:pt idx="46">
                  <c:v>1.0000000000000002</c:v>
                </c:pt>
                <c:pt idx="47">
                  <c:v>1.05</c:v>
                </c:pt>
                <c:pt idx="48">
                  <c:v>1.1000000000000003</c:v>
                </c:pt>
                <c:pt idx="49">
                  <c:v>1.1500000000000001</c:v>
                </c:pt>
                <c:pt idx="50">
                  <c:v>1.2</c:v>
                </c:pt>
                <c:pt idx="51">
                  <c:v>1.2500000000000002</c:v>
                </c:pt>
                <c:pt idx="52">
                  <c:v>1.3</c:v>
                </c:pt>
              </c:numCache>
            </c:numRef>
          </c:xVal>
          <c:yVal>
            <c:numRef>
              <c:f>Wykres!$B$6:$B$58</c:f>
              <c:numCache>
                <c:formatCode>0.000</c:formatCode>
                <c:ptCount val="53"/>
                <c:pt idx="0">
                  <c:v>1.6900000000000002</c:v>
                </c:pt>
                <c:pt idx="1">
                  <c:v>1.5625</c:v>
                </c:pt>
                <c:pt idx="2">
                  <c:v>1.44</c:v>
                </c:pt>
                <c:pt idx="3">
                  <c:v>1.3224999999999998</c:v>
                </c:pt>
                <c:pt idx="4">
                  <c:v>1.2100000000000002</c:v>
                </c:pt>
                <c:pt idx="5">
                  <c:v>1.1025</c:v>
                </c:pt>
                <c:pt idx="6">
                  <c:v>1</c:v>
                </c:pt>
                <c:pt idx="7">
                  <c:v>0.90249999999999997</c:v>
                </c:pt>
                <c:pt idx="8">
                  <c:v>0.81</c:v>
                </c:pt>
                <c:pt idx="9">
                  <c:v>0.72250000000000014</c:v>
                </c:pt>
                <c:pt idx="10">
                  <c:v>0.64000000000000012</c:v>
                </c:pt>
                <c:pt idx="11">
                  <c:v>0.5625</c:v>
                </c:pt>
                <c:pt idx="12">
                  <c:v>0.48999999999999994</c:v>
                </c:pt>
                <c:pt idx="13">
                  <c:v>0.42250000000000004</c:v>
                </c:pt>
                <c:pt idx="14">
                  <c:v>0.36</c:v>
                </c:pt>
                <c:pt idx="15">
                  <c:v>0.30250000000000005</c:v>
                </c:pt>
                <c:pt idx="16">
                  <c:v>0.25</c:v>
                </c:pt>
                <c:pt idx="17">
                  <c:v>0.20249999999999996</c:v>
                </c:pt>
                <c:pt idx="18">
                  <c:v>0.16000000000000003</c:v>
                </c:pt>
                <c:pt idx="19">
                  <c:v>0.12249999999999998</c:v>
                </c:pt>
                <c:pt idx="20">
                  <c:v>9.0000000000000024E-2</c:v>
                </c:pt>
                <c:pt idx="21">
                  <c:v>6.25E-2</c:v>
                </c:pt>
                <c:pt idx="22">
                  <c:v>3.999999999999998E-2</c:v>
                </c:pt>
                <c:pt idx="23">
                  <c:v>2.2499999999999975E-2</c:v>
                </c:pt>
                <c:pt idx="24">
                  <c:v>9.9999999999999742E-3</c:v>
                </c:pt>
                <c:pt idx="25">
                  <c:v>2.5000000000000044E-3</c:v>
                </c:pt>
                <c:pt idx="26">
                  <c:v>0</c:v>
                </c:pt>
                <c:pt idx="27">
                  <c:v>2.5000000000000044E-3</c:v>
                </c:pt>
                <c:pt idx="28">
                  <c:v>1.0000000000000018E-2</c:v>
                </c:pt>
                <c:pt idx="29">
                  <c:v>2.2500000000000041E-2</c:v>
                </c:pt>
                <c:pt idx="30">
                  <c:v>3.999999999999998E-2</c:v>
                </c:pt>
                <c:pt idx="31">
                  <c:v>6.25E-2</c:v>
                </c:pt>
                <c:pt idx="32">
                  <c:v>9.0000000000000024E-2</c:v>
                </c:pt>
                <c:pt idx="33">
                  <c:v>0.12250000000000007</c:v>
                </c:pt>
                <c:pt idx="34">
                  <c:v>0.16000000000000011</c:v>
                </c:pt>
                <c:pt idx="35">
                  <c:v>0.20249999999999996</c:v>
                </c:pt>
                <c:pt idx="36">
                  <c:v>0.25</c:v>
                </c:pt>
                <c:pt idx="37">
                  <c:v>0.30250000000000005</c:v>
                </c:pt>
                <c:pt idx="38">
                  <c:v>0.3600000000000001</c:v>
                </c:pt>
                <c:pt idx="39">
                  <c:v>0.42250000000000015</c:v>
                </c:pt>
                <c:pt idx="40">
                  <c:v>0.48999999999999994</c:v>
                </c:pt>
                <c:pt idx="41">
                  <c:v>0.56250000000000033</c:v>
                </c:pt>
                <c:pt idx="42">
                  <c:v>0.64000000000000012</c:v>
                </c:pt>
                <c:pt idx="43">
                  <c:v>0.72249999999999981</c:v>
                </c:pt>
                <c:pt idx="44">
                  <c:v>0.81000000000000028</c:v>
                </c:pt>
                <c:pt idx="45">
                  <c:v>0.90249999999999997</c:v>
                </c:pt>
                <c:pt idx="46">
                  <c:v>1.0000000000000004</c:v>
                </c:pt>
                <c:pt idx="47">
                  <c:v>1.1025</c:v>
                </c:pt>
                <c:pt idx="48">
                  <c:v>1.2100000000000006</c:v>
                </c:pt>
                <c:pt idx="49">
                  <c:v>1.3225000000000002</c:v>
                </c:pt>
                <c:pt idx="50">
                  <c:v>1.44</c:v>
                </c:pt>
                <c:pt idx="51">
                  <c:v>1.5625000000000004</c:v>
                </c:pt>
                <c:pt idx="52">
                  <c:v>1.6900000000000002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4F-4FA9-BE43-CC1879AE77F5}"/>
            </c:ext>
          </c:extLst>
        </c:ser>
        <c:ser>
          <c:idx val="3"/>
          <c:order val="3"/>
          <c:tx>
            <c:v>punkty przecięcia</c:v>
          </c:tx>
          <c:spPr>
            <a:ln>
              <a:noFill/>
              <a:prstDash val="solid"/>
            </a:ln>
          </c:spPr>
          <c:marker>
            <c:symbol val="circle"/>
            <c:size val="8"/>
            <c:spPr>
              <a:solidFill>
                <a:srgbClr val="D9822B"/>
              </a:solidFill>
              <a:ln>
                <a:solidFill>
                  <a:srgbClr val="D9822B"/>
                </a:solidFill>
                <a:prstDash val="solid"/>
              </a:ln>
            </c:spPr>
          </c:marker>
          <c:xVal>
            <c:numRef>
              <c:f>Wykres!$H$6:$H$7</c:f>
              <c:numCache>
                <c:formatCode>0.000000</c:formatCode>
                <c:ptCount val="2"/>
                <c:pt idx="0">
                  <c:v>-0.82413196563720703</c:v>
                </c:pt>
                <c:pt idx="1">
                  <c:v>0.82413196563720703</c:v>
                </c:pt>
              </c:numCache>
            </c:numRef>
          </c:xVal>
          <c:yVal>
            <c:numRef>
              <c:f>Wykres!$I$6:$I$7</c:f>
              <c:numCache>
                <c:formatCode>0.000000</c:formatCode>
                <c:ptCount val="2"/>
                <c:pt idx="0">
                  <c:v>0.67919349678504659</c:v>
                </c:pt>
                <c:pt idx="1">
                  <c:v>0.67919349678504659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4F-4FA9-BE43-CC1879AE7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.5"/>
          <c:min val="-1.5"/>
        </c:scaling>
        <c:delete val="0"/>
        <c:axPos val="b"/>
        <c:majorGridlines/>
        <c:numFmt formatCode="0.0" sourceLinked="0"/>
        <c:majorTickMark val="none"/>
        <c:minorTickMark val="none"/>
        <c:tickLblPos val="low"/>
        <c:crossAx val="20"/>
        <c:crosses val="autoZero"/>
        <c:crossBetween val="midCat"/>
        <c:majorUnit val="0.5"/>
      </c:valAx>
      <c:valAx>
        <c:axId val="20"/>
        <c:scaling>
          <c:orientation val="minMax"/>
          <c:max val="1.8"/>
          <c:min val="-0.2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0.0" sourceLinked="0"/>
        <c:majorTickMark val="none"/>
        <c:minorTickMark val="none"/>
        <c:tickLblPos val="low"/>
        <c:crossAx val="10"/>
        <c:crosses val="autoZero"/>
        <c:crossBetween val="midCat"/>
        <c:majorUnit val="0.4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</xdr:row>
      <xdr:rowOff>0</xdr:rowOff>
    </xdr:from>
    <xdr:ext cx="720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workbookViewId="0">
      <pane ySplit="7" topLeftCell="A8" activePane="bottomLeft" state="frozen"/>
      <selection pane="bottomLeft"/>
    </sheetView>
  </sheetViews>
  <sheetFormatPr defaultRowHeight="15" x14ac:dyDescent="0.25"/>
  <cols>
    <col min="1" max="1" width="8" customWidth="1"/>
    <col min="2" max="8" width="13" customWidth="1"/>
    <col min="9" max="9" width="15" customWidth="1"/>
  </cols>
  <sheetData>
    <row r="1" spans="1:9" ht="16.5" x14ac:dyDescent="0.25">
      <c r="A1" s="1" t="s">
        <v>0</v>
      </c>
    </row>
    <row r="3" spans="1:9" x14ac:dyDescent="0.25">
      <c r="A3" s="2" t="s">
        <v>1</v>
      </c>
      <c r="B3" s="3">
        <v>9.9999999999999995E-7</v>
      </c>
      <c r="C3" s="4" t="s">
        <v>2</v>
      </c>
    </row>
    <row r="4" spans="1:9" x14ac:dyDescent="0.25">
      <c r="A4" s="2" t="s">
        <v>3</v>
      </c>
      <c r="B4" s="5">
        <v>0</v>
      </c>
    </row>
    <row r="5" spans="1:9" x14ac:dyDescent="0.25">
      <c r="A5" s="2" t="s">
        <v>4</v>
      </c>
      <c r="B5" s="5">
        <v>1</v>
      </c>
    </row>
    <row r="7" spans="1:9" x14ac:dyDescent="0.25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  <c r="G7" s="6" t="s">
        <v>11</v>
      </c>
      <c r="H7" s="6" t="s">
        <v>12</v>
      </c>
      <c r="I7" s="6" t="s">
        <v>13</v>
      </c>
    </row>
    <row r="8" spans="1:9" x14ac:dyDescent="0.25">
      <c r="A8" s="7">
        <v>1</v>
      </c>
      <c r="B8" s="8">
        <f>$B$4</f>
        <v>0</v>
      </c>
      <c r="C8" s="8">
        <f>$B$5</f>
        <v>1</v>
      </c>
      <c r="D8" s="8">
        <f t="shared" ref="D8:D26" si="0">(B8+C8)/2</f>
        <v>0.5</v>
      </c>
      <c r="E8" s="8">
        <f t="shared" ref="E8:E26" si="1">COS(B8)-B8^2</f>
        <v>1</v>
      </c>
      <c r="F8" s="8">
        <f t="shared" ref="F8:F26" si="2">COS(C8)-C8^2</f>
        <v>-0.45969769413186023</v>
      </c>
      <c r="G8" s="8">
        <f t="shared" ref="G8:G26" si="3">COS(D8)-D8^2</f>
        <v>0.62758256189037276</v>
      </c>
      <c r="H8" s="9">
        <f t="shared" ref="H8:H26" si="4">(C8-B8)/2</f>
        <v>0.5</v>
      </c>
      <c r="I8" s="10" t="str">
        <f t="shared" ref="I8:I26" si="5">IF(H8&lt;$B$3,"TAK","NIE")</f>
        <v>NIE</v>
      </c>
    </row>
    <row r="9" spans="1:9" x14ac:dyDescent="0.25">
      <c r="A9" s="7">
        <v>2</v>
      </c>
      <c r="B9" s="8">
        <f t="shared" ref="B9:B26" si="6">IF(E8*G8&lt;0,B8,D8)</f>
        <v>0.5</v>
      </c>
      <c r="C9" s="8">
        <f t="shared" ref="C9:C26" si="7">IF(E8*G8&lt;0,D8,C8)</f>
        <v>1</v>
      </c>
      <c r="D9" s="8">
        <f t="shared" si="0"/>
        <v>0.75</v>
      </c>
      <c r="E9" s="8">
        <f t="shared" si="1"/>
        <v>0.62758256189037276</v>
      </c>
      <c r="F9" s="8">
        <f t="shared" si="2"/>
        <v>-0.45969769413186023</v>
      </c>
      <c r="G9" s="8">
        <f t="shared" si="3"/>
        <v>0.1691888688738209</v>
      </c>
      <c r="H9" s="9">
        <f t="shared" si="4"/>
        <v>0.25</v>
      </c>
      <c r="I9" s="10" t="str">
        <f t="shared" si="5"/>
        <v>NIE</v>
      </c>
    </row>
    <row r="10" spans="1:9" x14ac:dyDescent="0.25">
      <c r="A10" s="7">
        <v>3</v>
      </c>
      <c r="B10" s="8">
        <f t="shared" si="6"/>
        <v>0.75</v>
      </c>
      <c r="C10" s="8">
        <f t="shared" si="7"/>
        <v>1</v>
      </c>
      <c r="D10" s="8">
        <f t="shared" si="0"/>
        <v>0.875</v>
      </c>
      <c r="E10" s="8">
        <f t="shared" si="1"/>
        <v>0.1691888688738209</v>
      </c>
      <c r="F10" s="8">
        <f t="shared" si="2"/>
        <v>-0.45969769413186023</v>
      </c>
      <c r="G10" s="8">
        <f t="shared" si="3"/>
        <v>-0.12462814183667492</v>
      </c>
      <c r="H10" s="9">
        <f t="shared" si="4"/>
        <v>0.125</v>
      </c>
      <c r="I10" s="10" t="str">
        <f t="shared" si="5"/>
        <v>NIE</v>
      </c>
    </row>
    <row r="11" spans="1:9" x14ac:dyDescent="0.25">
      <c r="A11" s="7">
        <v>4</v>
      </c>
      <c r="B11" s="8">
        <f t="shared" si="6"/>
        <v>0.75</v>
      </c>
      <c r="C11" s="8">
        <f t="shared" si="7"/>
        <v>0.875</v>
      </c>
      <c r="D11" s="8">
        <f t="shared" si="0"/>
        <v>0.8125</v>
      </c>
      <c r="E11" s="8">
        <f t="shared" si="1"/>
        <v>0.1691888688738209</v>
      </c>
      <c r="F11" s="8">
        <f t="shared" si="2"/>
        <v>-0.12462814183667492</v>
      </c>
      <c r="G11" s="8">
        <f t="shared" si="3"/>
        <v>2.7529312220504809E-2</v>
      </c>
      <c r="H11" s="9">
        <f t="shared" si="4"/>
        <v>6.25E-2</v>
      </c>
      <c r="I11" s="10" t="str">
        <f t="shared" si="5"/>
        <v>NIE</v>
      </c>
    </row>
    <row r="12" spans="1:9" x14ac:dyDescent="0.25">
      <c r="A12" s="7">
        <v>5</v>
      </c>
      <c r="B12" s="8">
        <f t="shared" si="6"/>
        <v>0.8125</v>
      </c>
      <c r="C12" s="8">
        <f t="shared" si="7"/>
        <v>0.875</v>
      </c>
      <c r="D12" s="8">
        <f t="shared" si="0"/>
        <v>0.84375</v>
      </c>
      <c r="E12" s="8">
        <f t="shared" si="1"/>
        <v>2.7529312220504809E-2</v>
      </c>
      <c r="F12" s="8">
        <f t="shared" si="2"/>
        <v>-0.12462814183667492</v>
      </c>
      <c r="G12" s="8">
        <f t="shared" si="3"/>
        <v>-4.7248334906366707E-2</v>
      </c>
      <c r="H12" s="9">
        <f t="shared" si="4"/>
        <v>3.125E-2</v>
      </c>
      <c r="I12" s="10" t="str">
        <f t="shared" si="5"/>
        <v>NIE</v>
      </c>
    </row>
    <row r="13" spans="1:9" x14ac:dyDescent="0.25">
      <c r="A13" s="7">
        <v>6</v>
      </c>
      <c r="B13" s="8">
        <f t="shared" si="6"/>
        <v>0.8125</v>
      </c>
      <c r="C13" s="8">
        <f t="shared" si="7"/>
        <v>0.84375</v>
      </c>
      <c r="D13" s="8">
        <f t="shared" si="0"/>
        <v>0.828125</v>
      </c>
      <c r="E13" s="8">
        <f t="shared" si="1"/>
        <v>2.7529312220504809E-2</v>
      </c>
      <c r="F13" s="8">
        <f t="shared" si="2"/>
        <v>-4.7248334906366707E-2</v>
      </c>
      <c r="G13" s="8">
        <f t="shared" si="3"/>
        <v>-9.5328213483166779E-3</v>
      </c>
      <c r="H13" s="9">
        <f t="shared" si="4"/>
        <v>1.5625E-2</v>
      </c>
      <c r="I13" s="10" t="str">
        <f t="shared" si="5"/>
        <v>NIE</v>
      </c>
    </row>
    <row r="14" spans="1:9" x14ac:dyDescent="0.25">
      <c r="A14" s="7">
        <v>7</v>
      </c>
      <c r="B14" s="8">
        <f t="shared" si="6"/>
        <v>0.8125</v>
      </c>
      <c r="C14" s="8">
        <f t="shared" si="7"/>
        <v>0.828125</v>
      </c>
      <c r="D14" s="8">
        <f t="shared" si="0"/>
        <v>0.8203125</v>
      </c>
      <c r="E14" s="8">
        <f t="shared" si="1"/>
        <v>2.7529312220504809E-2</v>
      </c>
      <c r="F14" s="8">
        <f t="shared" si="2"/>
        <v>-9.5328213483166779E-3</v>
      </c>
      <c r="G14" s="8">
        <f t="shared" si="3"/>
        <v>9.0800932517105526E-3</v>
      </c>
      <c r="H14" s="9">
        <f t="shared" si="4"/>
        <v>7.8125E-3</v>
      </c>
      <c r="I14" s="10" t="str">
        <f t="shared" si="5"/>
        <v>NIE</v>
      </c>
    </row>
    <row r="15" spans="1:9" x14ac:dyDescent="0.25">
      <c r="A15" s="7">
        <v>8</v>
      </c>
      <c r="B15" s="8">
        <f t="shared" si="6"/>
        <v>0.8203125</v>
      </c>
      <c r="C15" s="8">
        <f t="shared" si="7"/>
        <v>0.828125</v>
      </c>
      <c r="D15" s="8">
        <f t="shared" si="0"/>
        <v>0.82421875</v>
      </c>
      <c r="E15" s="8">
        <f t="shared" si="1"/>
        <v>9.0800932517105526E-3</v>
      </c>
      <c r="F15" s="8">
        <f t="shared" si="2"/>
        <v>-9.5328213483166779E-3</v>
      </c>
      <c r="G15" s="8">
        <f t="shared" si="3"/>
        <v>-2.0592391036067248E-4</v>
      </c>
      <c r="H15" s="9">
        <f t="shared" si="4"/>
        <v>3.90625E-3</v>
      </c>
      <c r="I15" s="10" t="str">
        <f t="shared" si="5"/>
        <v>NIE</v>
      </c>
    </row>
    <row r="16" spans="1:9" x14ac:dyDescent="0.25">
      <c r="A16" s="7">
        <v>9</v>
      </c>
      <c r="B16" s="8">
        <f t="shared" si="6"/>
        <v>0.8203125</v>
      </c>
      <c r="C16" s="8">
        <f t="shared" si="7"/>
        <v>0.82421875</v>
      </c>
      <c r="D16" s="8">
        <f t="shared" si="0"/>
        <v>0.822265625</v>
      </c>
      <c r="E16" s="8">
        <f t="shared" si="1"/>
        <v>9.0800932517105526E-3</v>
      </c>
      <c r="F16" s="8">
        <f t="shared" si="2"/>
        <v>-2.0592391036067248E-4</v>
      </c>
      <c r="G16" s="8">
        <f t="shared" si="3"/>
        <v>4.4421974383506146E-3</v>
      </c>
      <c r="H16" s="9">
        <f t="shared" si="4"/>
        <v>1.953125E-3</v>
      </c>
      <c r="I16" s="10" t="str">
        <f t="shared" si="5"/>
        <v>NIE</v>
      </c>
    </row>
    <row r="17" spans="1:9" x14ac:dyDescent="0.25">
      <c r="A17" s="7">
        <v>10</v>
      </c>
      <c r="B17" s="8">
        <f t="shared" si="6"/>
        <v>0.822265625</v>
      </c>
      <c r="C17" s="8">
        <f t="shared" si="7"/>
        <v>0.82421875</v>
      </c>
      <c r="D17" s="8">
        <f t="shared" si="0"/>
        <v>0.8232421875</v>
      </c>
      <c r="E17" s="8">
        <f t="shared" si="1"/>
        <v>4.4421974383506146E-3</v>
      </c>
      <c r="F17" s="8">
        <f t="shared" si="2"/>
        <v>-2.0592391036067248E-4</v>
      </c>
      <c r="G17" s="8">
        <f t="shared" si="3"/>
        <v>2.1194146146514825E-3</v>
      </c>
      <c r="H17" s="9">
        <f t="shared" si="4"/>
        <v>9.765625E-4</v>
      </c>
      <c r="I17" s="10" t="str">
        <f t="shared" si="5"/>
        <v>NIE</v>
      </c>
    </row>
    <row r="18" spans="1:9" x14ac:dyDescent="0.25">
      <c r="A18" s="7">
        <v>11</v>
      </c>
      <c r="B18" s="8">
        <f t="shared" si="6"/>
        <v>0.8232421875</v>
      </c>
      <c r="C18" s="8">
        <f t="shared" si="7"/>
        <v>0.82421875</v>
      </c>
      <c r="D18" s="8">
        <f t="shared" si="0"/>
        <v>0.82373046875</v>
      </c>
      <c r="E18" s="8">
        <f t="shared" si="1"/>
        <v>2.1194146146514825E-3</v>
      </c>
      <c r="F18" s="8">
        <f t="shared" si="2"/>
        <v>-2.0592391036067248E-4</v>
      </c>
      <c r="G18" s="8">
        <f t="shared" si="3"/>
        <v>9.5706477211787711E-4</v>
      </c>
      <c r="H18" s="9">
        <f t="shared" si="4"/>
        <v>4.8828125E-4</v>
      </c>
      <c r="I18" s="10" t="str">
        <f t="shared" si="5"/>
        <v>NIE</v>
      </c>
    </row>
    <row r="19" spans="1:9" x14ac:dyDescent="0.25">
      <c r="A19" s="7">
        <v>12</v>
      </c>
      <c r="B19" s="8">
        <f t="shared" si="6"/>
        <v>0.82373046875</v>
      </c>
      <c r="C19" s="8">
        <f t="shared" si="7"/>
        <v>0.82421875</v>
      </c>
      <c r="D19" s="8">
        <f t="shared" si="0"/>
        <v>0.823974609375</v>
      </c>
      <c r="E19" s="8">
        <f t="shared" si="1"/>
        <v>9.5706477211787711E-4</v>
      </c>
      <c r="F19" s="8">
        <f t="shared" si="2"/>
        <v>-2.0592391036067248E-4</v>
      </c>
      <c r="G19" s="8">
        <f t="shared" si="3"/>
        <v>3.756502805331019E-4</v>
      </c>
      <c r="H19" s="9">
        <f t="shared" si="4"/>
        <v>2.44140625E-4</v>
      </c>
      <c r="I19" s="10" t="str">
        <f t="shared" si="5"/>
        <v>NIE</v>
      </c>
    </row>
    <row r="20" spans="1:9" x14ac:dyDescent="0.25">
      <c r="A20" s="7">
        <v>13</v>
      </c>
      <c r="B20" s="8">
        <f t="shared" si="6"/>
        <v>0.823974609375</v>
      </c>
      <c r="C20" s="8">
        <f t="shared" si="7"/>
        <v>0.82421875</v>
      </c>
      <c r="D20" s="8">
        <f t="shared" si="0"/>
        <v>0.8240966796875</v>
      </c>
      <c r="E20" s="8">
        <f t="shared" si="1"/>
        <v>3.756502805331019E-4</v>
      </c>
      <c r="F20" s="8">
        <f t="shared" si="2"/>
        <v>-2.0592391036067248E-4</v>
      </c>
      <c r="G20" s="8">
        <f t="shared" si="3"/>
        <v>8.4883146832415157E-5</v>
      </c>
      <c r="H20" s="9">
        <f t="shared" si="4"/>
        <v>1.220703125E-4</v>
      </c>
      <c r="I20" s="10" t="str">
        <f t="shared" si="5"/>
        <v>NIE</v>
      </c>
    </row>
    <row r="21" spans="1:9" x14ac:dyDescent="0.25">
      <c r="A21" s="7">
        <v>14</v>
      </c>
      <c r="B21" s="8">
        <f t="shared" si="6"/>
        <v>0.8240966796875</v>
      </c>
      <c r="C21" s="8">
        <f t="shared" si="7"/>
        <v>0.82421875</v>
      </c>
      <c r="D21" s="8">
        <f t="shared" si="0"/>
        <v>0.82415771484375</v>
      </c>
      <c r="E21" s="8">
        <f t="shared" si="1"/>
        <v>8.4883146832415157E-5</v>
      </c>
      <c r="F21" s="8">
        <f t="shared" si="2"/>
        <v>-2.0592391036067248E-4</v>
      </c>
      <c r="G21" s="8">
        <f t="shared" si="3"/>
        <v>-6.0515391411053443E-5</v>
      </c>
      <c r="H21" s="9">
        <f t="shared" si="4"/>
        <v>6.103515625E-5</v>
      </c>
      <c r="I21" s="10" t="str">
        <f t="shared" si="5"/>
        <v>NIE</v>
      </c>
    </row>
    <row r="22" spans="1:9" x14ac:dyDescent="0.25">
      <c r="A22" s="7">
        <v>15</v>
      </c>
      <c r="B22" s="8">
        <f t="shared" si="6"/>
        <v>0.8240966796875</v>
      </c>
      <c r="C22" s="8">
        <f t="shared" si="7"/>
        <v>0.82415771484375</v>
      </c>
      <c r="D22" s="8">
        <f t="shared" si="0"/>
        <v>0.824127197265625</v>
      </c>
      <c r="E22" s="8">
        <f t="shared" si="1"/>
        <v>8.4883146832415157E-5</v>
      </c>
      <c r="F22" s="8">
        <f t="shared" si="2"/>
        <v>-6.0515391411053443E-5</v>
      </c>
      <c r="G22" s="8">
        <f t="shared" si="3"/>
        <v>1.2185125309427391E-5</v>
      </c>
      <c r="H22" s="9">
        <f t="shared" si="4"/>
        <v>3.0517578125E-5</v>
      </c>
      <c r="I22" s="10" t="str">
        <f t="shared" si="5"/>
        <v>NIE</v>
      </c>
    </row>
    <row r="23" spans="1:9" x14ac:dyDescent="0.25">
      <c r="A23" s="7">
        <v>16</v>
      </c>
      <c r="B23" s="8">
        <f t="shared" si="6"/>
        <v>0.824127197265625</v>
      </c>
      <c r="C23" s="8">
        <f t="shared" si="7"/>
        <v>0.82415771484375</v>
      </c>
      <c r="D23" s="8">
        <f t="shared" si="0"/>
        <v>0.8241424560546875</v>
      </c>
      <c r="E23" s="8">
        <f t="shared" si="1"/>
        <v>1.2185125309427391E-5</v>
      </c>
      <c r="F23" s="8">
        <f t="shared" si="2"/>
        <v>-6.0515391411053443E-5</v>
      </c>
      <c r="G23" s="8">
        <f t="shared" si="3"/>
        <v>-2.4164821152417026E-5</v>
      </c>
      <c r="H23" s="9">
        <f t="shared" si="4"/>
        <v>1.52587890625E-5</v>
      </c>
      <c r="I23" s="10" t="str">
        <f t="shared" si="5"/>
        <v>NIE</v>
      </c>
    </row>
    <row r="24" spans="1:9" x14ac:dyDescent="0.25">
      <c r="A24" s="7">
        <v>17</v>
      </c>
      <c r="B24" s="8">
        <f t="shared" si="6"/>
        <v>0.824127197265625</v>
      </c>
      <c r="C24" s="8">
        <f t="shared" si="7"/>
        <v>0.8241424560546875</v>
      </c>
      <c r="D24" s="8">
        <f t="shared" si="0"/>
        <v>0.82413482666015625</v>
      </c>
      <c r="E24" s="8">
        <f t="shared" si="1"/>
        <v>1.2185125309427391E-5</v>
      </c>
      <c r="F24" s="8">
        <f t="shared" si="2"/>
        <v>-2.4164821152417026E-5</v>
      </c>
      <c r="G24" s="8">
        <f t="shared" si="3"/>
        <v>-5.9897699467015286E-6</v>
      </c>
      <c r="H24" s="9">
        <f t="shared" si="4"/>
        <v>7.62939453125E-6</v>
      </c>
      <c r="I24" s="10" t="str">
        <f t="shared" si="5"/>
        <v>NIE</v>
      </c>
    </row>
    <row r="25" spans="1:9" x14ac:dyDescent="0.25">
      <c r="A25" s="7">
        <v>18</v>
      </c>
      <c r="B25" s="8">
        <f t="shared" si="6"/>
        <v>0.824127197265625</v>
      </c>
      <c r="C25" s="8">
        <f t="shared" si="7"/>
        <v>0.82413482666015625</v>
      </c>
      <c r="D25" s="8">
        <f t="shared" si="0"/>
        <v>0.82413101196289063</v>
      </c>
      <c r="E25" s="8">
        <f t="shared" si="1"/>
        <v>1.2185125309427391E-5</v>
      </c>
      <c r="F25" s="8">
        <f t="shared" si="2"/>
        <v>-5.9897699467015286E-6</v>
      </c>
      <c r="G25" s="8">
        <f t="shared" si="3"/>
        <v>3.0976971749918647E-6</v>
      </c>
      <c r="H25" s="9">
        <f t="shared" si="4"/>
        <v>3.814697265625E-6</v>
      </c>
      <c r="I25" s="10" t="str">
        <f t="shared" si="5"/>
        <v>NIE</v>
      </c>
    </row>
    <row r="26" spans="1:9" x14ac:dyDescent="0.25">
      <c r="A26" s="7">
        <v>19</v>
      </c>
      <c r="B26" s="8">
        <f t="shared" si="6"/>
        <v>0.82413101196289063</v>
      </c>
      <c r="C26" s="8">
        <f t="shared" si="7"/>
        <v>0.82413482666015625</v>
      </c>
      <c r="D26" s="8">
        <f t="shared" si="0"/>
        <v>0.82413291931152344</v>
      </c>
      <c r="E26" s="8">
        <f t="shared" si="1"/>
        <v>3.0976971749918647E-6</v>
      </c>
      <c r="F26" s="8">
        <f t="shared" si="2"/>
        <v>-5.9897699467015286E-6</v>
      </c>
      <c r="G26" s="8">
        <f t="shared" si="3"/>
        <v>-1.4460315124198431E-6</v>
      </c>
      <c r="H26" s="9">
        <f t="shared" si="4"/>
        <v>1.9073486328125E-6</v>
      </c>
      <c r="I26" s="10" t="str">
        <f t="shared" si="5"/>
        <v>NIE</v>
      </c>
    </row>
    <row r="28" spans="1:9" x14ac:dyDescent="0.25">
      <c r="A28" s="2" t="s">
        <v>14</v>
      </c>
      <c r="B28" s="8">
        <f>IF(E26*G26&lt;0,B26,D26)</f>
        <v>0.82413101196289063</v>
      </c>
      <c r="C28" s="8">
        <f>IF(E26*G26&lt;0,D26,C26)</f>
        <v>0.82413291931152344</v>
      </c>
      <c r="H28" s="9">
        <f>(C28-B28)/2</f>
        <v>9.5367431640625E-7</v>
      </c>
      <c r="I28" s="7" t="str">
        <f>IF(H28&lt;$B$3,"TAK","NIE")</f>
        <v>TAK</v>
      </c>
    </row>
    <row r="30" spans="1:9" x14ac:dyDescent="0.25">
      <c r="A30" s="2" t="s">
        <v>15</v>
      </c>
      <c r="B30" s="11">
        <f>(B28+C28)/2</f>
        <v>0.82413196563720703</v>
      </c>
    </row>
    <row r="31" spans="1:9" x14ac:dyDescent="0.25">
      <c r="A31" s="2" t="s">
        <v>16</v>
      </c>
      <c r="B31" s="8">
        <f>-B30</f>
        <v>-0.82413196563720703</v>
      </c>
    </row>
    <row r="32" spans="1:9" x14ac:dyDescent="0.25">
      <c r="A32" s="2" t="s">
        <v>17</v>
      </c>
      <c r="B32" s="7">
        <f>COUNTIF(I8:I26,"NIE")</f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/>
  </sheetViews>
  <sheetFormatPr defaultRowHeight="15" x14ac:dyDescent="0.25"/>
  <cols>
    <col min="1" max="1" width="36" customWidth="1"/>
    <col min="2" max="3" width="13" customWidth="1"/>
    <col min="4" max="5" width="15" customWidth="1"/>
    <col min="6" max="7" width="17" customWidth="1"/>
  </cols>
  <sheetData>
    <row r="1" spans="1:7" ht="16.5" x14ac:dyDescent="0.25">
      <c r="A1" s="1" t="s">
        <v>18</v>
      </c>
    </row>
    <row r="3" spans="1:7" x14ac:dyDescent="0.25">
      <c r="A3" s="2" t="s">
        <v>19</v>
      </c>
      <c r="B3" s="12">
        <f>-Bisekcja!$B$30</f>
        <v>-0.82413196563720703</v>
      </c>
    </row>
    <row r="4" spans="1:7" x14ac:dyDescent="0.25">
      <c r="A4" s="2" t="s">
        <v>20</v>
      </c>
      <c r="B4" s="12">
        <f>Bisekcja!$B$30</f>
        <v>0.82413196563720703</v>
      </c>
    </row>
    <row r="5" spans="1:7" x14ac:dyDescent="0.25">
      <c r="A5" s="2" t="s">
        <v>21</v>
      </c>
      <c r="B5" s="13">
        <v>10</v>
      </c>
    </row>
    <row r="6" spans="1:7" x14ac:dyDescent="0.25">
      <c r="A6" s="2" t="s">
        <v>22</v>
      </c>
      <c r="B6" s="8">
        <f>(B4-B3)/B5</f>
        <v>0.16482639312744141</v>
      </c>
    </row>
    <row r="8" spans="1:7" x14ac:dyDescent="0.25">
      <c r="A8" s="6" t="s">
        <v>23</v>
      </c>
      <c r="B8" s="6" t="s">
        <v>24</v>
      </c>
      <c r="C8" s="6" t="s">
        <v>25</v>
      </c>
      <c r="D8" s="6" t="s">
        <v>26</v>
      </c>
      <c r="E8" s="6" t="s">
        <v>27</v>
      </c>
      <c r="F8" s="6" t="s">
        <v>28</v>
      </c>
      <c r="G8" s="6" t="s">
        <v>29</v>
      </c>
    </row>
    <row r="9" spans="1:7" x14ac:dyDescent="0.25">
      <c r="A9" s="7">
        <v>0</v>
      </c>
      <c r="B9" s="8">
        <f t="shared" ref="B9:B19" si="0">$B$3+A9*$B$6</f>
        <v>-0.82413196563720703</v>
      </c>
      <c r="C9" s="8">
        <f t="shared" ref="C9:C19" si="1">COS(B9)-B9^2</f>
        <v>8.2583404970026919E-7</v>
      </c>
      <c r="D9" s="7">
        <f t="shared" ref="D9:D19" si="2">IF(OR(A9=0,A9=$B$5),0.5,1)</f>
        <v>0.5</v>
      </c>
      <c r="E9" s="7">
        <f t="shared" ref="E9:E19" si="3">IF(OR(A9=0,A9=$B$5),1,IF(MOD(A9,2)=1,4,2))</f>
        <v>1</v>
      </c>
      <c r="F9" s="8">
        <f t="shared" ref="F9:F19" si="4">D9*C9</f>
        <v>4.129170248501346E-7</v>
      </c>
      <c r="G9" s="8">
        <f t="shared" ref="G9:G19" si="5">E9*C9</f>
        <v>8.2583404970026919E-7</v>
      </c>
    </row>
    <row r="10" spans="1:7" x14ac:dyDescent="0.25">
      <c r="A10" s="7">
        <v>1</v>
      </c>
      <c r="B10" s="8">
        <f t="shared" si="0"/>
        <v>-0.65930557250976563</v>
      </c>
      <c r="C10" s="8">
        <f t="shared" si="1"/>
        <v>0.35573396823866499</v>
      </c>
      <c r="D10" s="7">
        <f t="shared" si="2"/>
        <v>1</v>
      </c>
      <c r="E10" s="7">
        <f t="shared" si="3"/>
        <v>4</v>
      </c>
      <c r="F10" s="8">
        <f t="shared" si="4"/>
        <v>0.35573396823866499</v>
      </c>
      <c r="G10" s="8">
        <f t="shared" si="5"/>
        <v>1.42293587295466</v>
      </c>
    </row>
    <row r="11" spans="1:7" x14ac:dyDescent="0.25">
      <c r="A11" s="7">
        <v>2</v>
      </c>
      <c r="B11" s="8">
        <f t="shared" si="0"/>
        <v>-0.49447917938232422</v>
      </c>
      <c r="C11" s="8">
        <f t="shared" si="1"/>
        <v>0.63570633791286846</v>
      </c>
      <c r="D11" s="7">
        <f t="shared" si="2"/>
        <v>1</v>
      </c>
      <c r="E11" s="7">
        <f t="shared" si="3"/>
        <v>2</v>
      </c>
      <c r="F11" s="8">
        <f t="shared" si="4"/>
        <v>0.63570633791286846</v>
      </c>
      <c r="G11" s="8">
        <f t="shared" si="5"/>
        <v>1.2714126758257369</v>
      </c>
    </row>
    <row r="12" spans="1:7" x14ac:dyDescent="0.25">
      <c r="A12" s="7">
        <v>3</v>
      </c>
      <c r="B12" s="8">
        <f t="shared" si="0"/>
        <v>-0.32965278625488281</v>
      </c>
      <c r="C12" s="8">
        <f t="shared" si="1"/>
        <v>0.83748383920779212</v>
      </c>
      <c r="D12" s="7">
        <f t="shared" si="2"/>
        <v>1</v>
      </c>
      <c r="E12" s="7">
        <f t="shared" si="3"/>
        <v>4</v>
      </c>
      <c r="F12" s="8">
        <f t="shared" si="4"/>
        <v>0.83748383920779212</v>
      </c>
      <c r="G12" s="8">
        <f t="shared" si="5"/>
        <v>3.3499353568311685</v>
      </c>
    </row>
    <row r="13" spans="1:7" x14ac:dyDescent="0.25">
      <c r="A13" s="7">
        <v>4</v>
      </c>
      <c r="B13" s="8">
        <f t="shared" si="0"/>
        <v>-0.16482639312744141</v>
      </c>
      <c r="C13" s="8">
        <f t="shared" si="1"/>
        <v>0.95927911594329418</v>
      </c>
      <c r="D13" s="7">
        <f t="shared" si="2"/>
        <v>1</v>
      </c>
      <c r="E13" s="7">
        <f t="shared" si="3"/>
        <v>2</v>
      </c>
      <c r="F13" s="8">
        <f t="shared" si="4"/>
        <v>0.95927911594329418</v>
      </c>
      <c r="G13" s="8">
        <f t="shared" si="5"/>
        <v>1.9185582318865884</v>
      </c>
    </row>
    <row r="14" spans="1:7" x14ac:dyDescent="0.25">
      <c r="A14" s="7">
        <v>5</v>
      </c>
      <c r="B14" s="8">
        <f t="shared" si="0"/>
        <v>0</v>
      </c>
      <c r="C14" s="8">
        <f t="shared" si="1"/>
        <v>1</v>
      </c>
      <c r="D14" s="7">
        <f t="shared" si="2"/>
        <v>1</v>
      </c>
      <c r="E14" s="7">
        <f t="shared" si="3"/>
        <v>4</v>
      </c>
      <c r="F14" s="8">
        <f t="shared" si="4"/>
        <v>1</v>
      </c>
      <c r="G14" s="8">
        <f t="shared" si="5"/>
        <v>4</v>
      </c>
    </row>
    <row r="15" spans="1:7" x14ac:dyDescent="0.25">
      <c r="A15" s="7">
        <v>6</v>
      </c>
      <c r="B15" s="8">
        <f t="shared" si="0"/>
        <v>0.16482639312744141</v>
      </c>
      <c r="C15" s="8">
        <f t="shared" si="1"/>
        <v>0.95927911594329418</v>
      </c>
      <c r="D15" s="7">
        <f t="shared" si="2"/>
        <v>1</v>
      </c>
      <c r="E15" s="7">
        <f t="shared" si="3"/>
        <v>2</v>
      </c>
      <c r="F15" s="8">
        <f t="shared" si="4"/>
        <v>0.95927911594329418</v>
      </c>
      <c r="G15" s="8">
        <f t="shared" si="5"/>
        <v>1.9185582318865884</v>
      </c>
    </row>
    <row r="16" spans="1:7" x14ac:dyDescent="0.25">
      <c r="A16" s="7">
        <v>7</v>
      </c>
      <c r="B16" s="8">
        <f t="shared" si="0"/>
        <v>0.32965278625488281</v>
      </c>
      <c r="C16" s="8">
        <f t="shared" si="1"/>
        <v>0.83748383920779212</v>
      </c>
      <c r="D16" s="7">
        <f t="shared" si="2"/>
        <v>1</v>
      </c>
      <c r="E16" s="7">
        <f t="shared" si="3"/>
        <v>4</v>
      </c>
      <c r="F16" s="8">
        <f t="shared" si="4"/>
        <v>0.83748383920779212</v>
      </c>
      <c r="G16" s="8">
        <f t="shared" si="5"/>
        <v>3.3499353568311685</v>
      </c>
    </row>
    <row r="17" spans="1:7" x14ac:dyDescent="0.25">
      <c r="A17" s="7">
        <v>8</v>
      </c>
      <c r="B17" s="8">
        <f t="shared" si="0"/>
        <v>0.49447917938232422</v>
      </c>
      <c r="C17" s="8">
        <f t="shared" si="1"/>
        <v>0.63570633791286846</v>
      </c>
      <c r="D17" s="7">
        <f t="shared" si="2"/>
        <v>1</v>
      </c>
      <c r="E17" s="7">
        <f t="shared" si="3"/>
        <v>2</v>
      </c>
      <c r="F17" s="8">
        <f t="shared" si="4"/>
        <v>0.63570633791286846</v>
      </c>
      <c r="G17" s="8">
        <f t="shared" si="5"/>
        <v>1.2714126758257369</v>
      </c>
    </row>
    <row r="18" spans="1:7" x14ac:dyDescent="0.25">
      <c r="A18" s="7">
        <v>9</v>
      </c>
      <c r="B18" s="8">
        <f t="shared" si="0"/>
        <v>0.65930557250976563</v>
      </c>
      <c r="C18" s="8">
        <f t="shared" si="1"/>
        <v>0.35573396823866499</v>
      </c>
      <c r="D18" s="7">
        <f t="shared" si="2"/>
        <v>1</v>
      </c>
      <c r="E18" s="7">
        <f t="shared" si="3"/>
        <v>4</v>
      </c>
      <c r="F18" s="8">
        <f t="shared" si="4"/>
        <v>0.35573396823866499</v>
      </c>
      <c r="G18" s="8">
        <f t="shared" si="5"/>
        <v>1.42293587295466</v>
      </c>
    </row>
    <row r="19" spans="1:7" x14ac:dyDescent="0.25">
      <c r="A19" s="7">
        <v>10</v>
      </c>
      <c r="B19" s="8">
        <f t="shared" si="0"/>
        <v>0.82413196563720703</v>
      </c>
      <c r="C19" s="8">
        <f t="shared" si="1"/>
        <v>8.2583404970026919E-7</v>
      </c>
      <c r="D19" s="7">
        <f t="shared" si="2"/>
        <v>0.5</v>
      </c>
      <c r="E19" s="7">
        <f t="shared" si="3"/>
        <v>1</v>
      </c>
      <c r="F19" s="8">
        <f t="shared" si="4"/>
        <v>4.129170248501346E-7</v>
      </c>
      <c r="G19" s="8">
        <f t="shared" si="5"/>
        <v>8.2583404970026919E-7</v>
      </c>
    </row>
    <row r="21" spans="1:7" x14ac:dyDescent="0.25">
      <c r="A21" s="2" t="s">
        <v>30</v>
      </c>
      <c r="B21" s="11">
        <f>B6*SUM(F9:F19)</f>
        <v>1.0839655029800488</v>
      </c>
    </row>
    <row r="22" spans="1:7" x14ac:dyDescent="0.25">
      <c r="A22" s="2" t="s">
        <v>31</v>
      </c>
      <c r="B22" s="11">
        <f>B6/3*SUM(G9:G19)</f>
        <v>1.0947596472941048</v>
      </c>
    </row>
    <row r="23" spans="1:7" x14ac:dyDescent="0.25">
      <c r="A23" s="2" t="s">
        <v>32</v>
      </c>
      <c r="B23" s="11">
        <f>2*SIN(B4)-2*B4^3/3</f>
        <v>1.0947536086091871</v>
      </c>
    </row>
    <row r="24" spans="1:7" x14ac:dyDescent="0.25">
      <c r="A24" s="2" t="s">
        <v>33</v>
      </c>
      <c r="B24" s="9">
        <f>ABS(B21-B23)</f>
        <v>1.0788105629138345E-2</v>
      </c>
    </row>
    <row r="25" spans="1:7" x14ac:dyDescent="0.25">
      <c r="A25" s="2" t="s">
        <v>34</v>
      </c>
      <c r="B25" s="9">
        <f>ABS(B22-B23)</f>
        <v>6.0386849176641277E-6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7"/>
  <sheetViews>
    <sheetView workbookViewId="0"/>
  </sheetViews>
  <sheetFormatPr defaultRowHeight="15" x14ac:dyDescent="0.25"/>
  <cols>
    <col min="1" max="1" width="10" customWidth="1"/>
    <col min="2" max="3" width="12" customWidth="1"/>
    <col min="5" max="6" width="13" customWidth="1"/>
    <col min="8" max="9" width="15" customWidth="1"/>
  </cols>
  <sheetData>
    <row r="1" spans="1:9" ht="16.5" x14ac:dyDescent="0.25">
      <c r="A1" s="1" t="s">
        <v>35</v>
      </c>
    </row>
    <row r="3" spans="1:9" x14ac:dyDescent="0.25">
      <c r="A3" s="2" t="s">
        <v>36</v>
      </c>
      <c r="B3" s="12">
        <f>Bisekcja!$B$30</f>
        <v>0.82413196563720703</v>
      </c>
    </row>
    <row r="5" spans="1:9" x14ac:dyDescent="0.25">
      <c r="A5" s="6" t="s">
        <v>37</v>
      </c>
      <c r="B5" s="6" t="s">
        <v>38</v>
      </c>
      <c r="C5" s="6" t="s">
        <v>39</v>
      </c>
      <c r="E5" s="14" t="s">
        <v>40</v>
      </c>
      <c r="F5" s="14" t="s">
        <v>41</v>
      </c>
      <c r="H5" s="14" t="s">
        <v>42</v>
      </c>
      <c r="I5" s="14" t="s">
        <v>43</v>
      </c>
    </row>
    <row r="6" spans="1:9" x14ac:dyDescent="0.25">
      <c r="A6" s="15">
        <f>-1.3+0.05*0</f>
        <v>-1.3</v>
      </c>
      <c r="B6" s="15">
        <f t="shared" ref="B6:B37" si="0">A6^2</f>
        <v>1.6900000000000002</v>
      </c>
      <c r="C6" s="15">
        <f t="shared" ref="C6:C37" si="1">COS(A6)</f>
        <v>0.26749882862458735</v>
      </c>
      <c r="E6" s="15">
        <f>(-$B$3+0*2*$B$3/40)</f>
        <v>-0.82413196563720703</v>
      </c>
      <c r="F6" s="15">
        <f>(-$B$3+0*2*$B$3/40)^2</f>
        <v>0.67919349678504659</v>
      </c>
      <c r="H6" s="8">
        <f>-$B$3</f>
        <v>-0.82413196563720703</v>
      </c>
      <c r="I6" s="8">
        <f>H6^2</f>
        <v>0.67919349678504659</v>
      </c>
    </row>
    <row r="7" spans="1:9" x14ac:dyDescent="0.25">
      <c r="A7" s="15">
        <f>-1.3+0.05*1</f>
        <v>-1.25</v>
      </c>
      <c r="B7" s="15">
        <f t="shared" si="0"/>
        <v>1.5625</v>
      </c>
      <c r="C7" s="15">
        <f t="shared" si="1"/>
        <v>0.31532236239526867</v>
      </c>
      <c r="E7" s="15">
        <f>(-$B$3+0*2*$B$3/40)</f>
        <v>-0.82413196563720703</v>
      </c>
      <c r="F7" s="15">
        <f>COS((-$B$3+0*2*$B$3/40))</f>
        <v>0.67919432261909629</v>
      </c>
      <c r="H7" s="8">
        <f>$B$3</f>
        <v>0.82413196563720703</v>
      </c>
      <c r="I7" s="8">
        <f>H7^2</f>
        <v>0.67919349678504659</v>
      </c>
    </row>
    <row r="8" spans="1:9" x14ac:dyDescent="0.25">
      <c r="A8" s="15">
        <f>-1.3+0.05*2</f>
        <v>-1.2</v>
      </c>
      <c r="B8" s="15">
        <f t="shared" si="0"/>
        <v>1.44</v>
      </c>
      <c r="C8" s="15">
        <f t="shared" si="1"/>
        <v>0.36235775447667362</v>
      </c>
    </row>
    <row r="9" spans="1:9" x14ac:dyDescent="0.25">
      <c r="A9" s="15">
        <f>-1.3+0.05*3</f>
        <v>-1.1499999999999999</v>
      </c>
      <c r="B9" s="15">
        <f t="shared" si="0"/>
        <v>1.3224999999999998</v>
      </c>
      <c r="C9" s="15">
        <f t="shared" si="1"/>
        <v>0.40848744088415739</v>
      </c>
      <c r="E9" s="15">
        <f>(-$B$3+1*2*$B$3/40)</f>
        <v>-0.78292536735534668</v>
      </c>
      <c r="F9" s="15">
        <f>(-$B$3+1*2*$B$3/40)^2</f>
        <v>0.61297213084850455</v>
      </c>
    </row>
    <row r="10" spans="1:9" x14ac:dyDescent="0.25">
      <c r="A10" s="15">
        <f>-1.3+0.05*4</f>
        <v>-1.1000000000000001</v>
      </c>
      <c r="B10" s="15">
        <f t="shared" si="0"/>
        <v>1.2100000000000002</v>
      </c>
      <c r="C10" s="15">
        <f t="shared" si="1"/>
        <v>0.45359612142557731</v>
      </c>
      <c r="E10" s="15">
        <f>(-$B$3+1*2*$B$3/40)</f>
        <v>-0.78292536735534668</v>
      </c>
      <c r="F10" s="15">
        <f>COS((-$B$3+1*2*$B$3/40))</f>
        <v>0.70885314837546565</v>
      </c>
    </row>
    <row r="11" spans="1:9" x14ac:dyDescent="0.25">
      <c r="A11" s="15">
        <f>-1.3+0.05*5</f>
        <v>-1.05</v>
      </c>
      <c r="B11" s="15">
        <f t="shared" si="0"/>
        <v>1.1025</v>
      </c>
      <c r="C11" s="15">
        <f t="shared" si="1"/>
        <v>0.49757104789172696</v>
      </c>
    </row>
    <row r="12" spans="1:9" x14ac:dyDescent="0.25">
      <c r="A12" s="15">
        <f>-1.3+0.05*6</f>
        <v>-1</v>
      </c>
      <c r="B12" s="15">
        <f t="shared" si="0"/>
        <v>1</v>
      </c>
      <c r="C12" s="15">
        <f t="shared" si="1"/>
        <v>0.54030230586813977</v>
      </c>
      <c r="E12" s="15">
        <f>(-$B$3+2*2*$B$3/40)</f>
        <v>-0.74171876907348633</v>
      </c>
      <c r="F12" s="15">
        <f>(-$B$3+2*2*$B$3/40)^2</f>
        <v>0.55014673239588774</v>
      </c>
    </row>
    <row r="13" spans="1:9" x14ac:dyDescent="0.25">
      <c r="A13" s="15">
        <f>-1.3+0.05*7</f>
        <v>-0.95</v>
      </c>
      <c r="B13" s="15">
        <f t="shared" si="0"/>
        <v>0.90249999999999997</v>
      </c>
      <c r="C13" s="15">
        <f t="shared" si="1"/>
        <v>0.58168308946388358</v>
      </c>
      <c r="E13" s="15">
        <f>(-$B$3+2*2*$B$3/40)</f>
        <v>-0.74171876907348633</v>
      </c>
      <c r="F13" s="15">
        <f>COS((-$B$3+2*2*$B$3/40))</f>
        <v>0.73730852331157326</v>
      </c>
    </row>
    <row r="14" spans="1:9" x14ac:dyDescent="0.25">
      <c r="A14" s="15">
        <f>-1.3+0.05*8</f>
        <v>-0.9</v>
      </c>
      <c r="B14" s="15">
        <f t="shared" si="0"/>
        <v>0.81</v>
      </c>
      <c r="C14" s="15">
        <f t="shared" si="1"/>
        <v>0.62160996827066439</v>
      </c>
    </row>
    <row r="15" spans="1:9" x14ac:dyDescent="0.25">
      <c r="A15" s="15">
        <f>-1.3+0.05*9</f>
        <v>-0.85000000000000009</v>
      </c>
      <c r="B15" s="15">
        <f t="shared" si="0"/>
        <v>0.72250000000000014</v>
      </c>
      <c r="C15" s="15">
        <f t="shared" si="1"/>
        <v>0.65998314588498208</v>
      </c>
      <c r="E15" s="15">
        <f>(-$B$3+3*2*$B$3/40)</f>
        <v>-0.70051217079162598</v>
      </c>
      <c r="F15" s="15">
        <f>(-$B$3+3*2*$B$3/40)^2</f>
        <v>0.49071730142719616</v>
      </c>
    </row>
    <row r="16" spans="1:9" x14ac:dyDescent="0.25">
      <c r="A16" s="15">
        <f>-1.3+0.05*10</f>
        <v>-0.8</v>
      </c>
      <c r="B16" s="15">
        <f t="shared" si="0"/>
        <v>0.64000000000000012</v>
      </c>
      <c r="C16" s="15">
        <f t="shared" si="1"/>
        <v>0.69670670934716539</v>
      </c>
      <c r="E16" s="15">
        <f>(-$B$3+3*2*$B$3/40)</f>
        <v>-0.70051217079162598</v>
      </c>
      <c r="F16" s="15">
        <f>COS((-$B$3+3*2*$B$3/40))</f>
        <v>0.76451213749977576</v>
      </c>
    </row>
    <row r="17" spans="1:6" x14ac:dyDescent="0.25">
      <c r="A17" s="15">
        <f>-1.3+0.05*11</f>
        <v>-0.75</v>
      </c>
      <c r="B17" s="15">
        <f t="shared" si="0"/>
        <v>0.5625</v>
      </c>
      <c r="C17" s="15">
        <f t="shared" si="1"/>
        <v>0.7316888688738209</v>
      </c>
    </row>
    <row r="18" spans="1:6" x14ac:dyDescent="0.25">
      <c r="A18" s="15">
        <f>-1.3+0.05*12</f>
        <v>-0.7</v>
      </c>
      <c r="B18" s="15">
        <f t="shared" si="0"/>
        <v>0.48999999999999994</v>
      </c>
      <c r="C18" s="15">
        <f t="shared" si="1"/>
        <v>0.7648421872844885</v>
      </c>
      <c r="E18" s="15">
        <f>(-$B$3+4*2*$B$3/40)</f>
        <v>-0.65930557250976563</v>
      </c>
      <c r="F18" s="15">
        <f>(-$B$3+4*2*$B$3/40)^2</f>
        <v>0.43468383794242982</v>
      </c>
    </row>
    <row r="19" spans="1:6" x14ac:dyDescent="0.25">
      <c r="A19" s="15">
        <f>-1.3+0.05*13</f>
        <v>-0.65</v>
      </c>
      <c r="B19" s="15">
        <f t="shared" si="0"/>
        <v>0.42250000000000004</v>
      </c>
      <c r="C19" s="15">
        <f t="shared" si="1"/>
        <v>0.79608379854905587</v>
      </c>
      <c r="E19" s="15">
        <f>(-$B$3+4*2*$B$3/40)</f>
        <v>-0.65930557250976563</v>
      </c>
      <c r="F19" s="15">
        <f>COS((-$B$3+4*2*$B$3/40))</f>
        <v>0.79041780618109481</v>
      </c>
    </row>
    <row r="20" spans="1:6" x14ac:dyDescent="0.25">
      <c r="A20" s="15">
        <f>-1.3+0.05*14</f>
        <v>-0.6</v>
      </c>
      <c r="B20" s="15">
        <f t="shared" si="0"/>
        <v>0.36</v>
      </c>
      <c r="C20" s="15">
        <f t="shared" si="1"/>
        <v>0.82533561490967833</v>
      </c>
    </row>
    <row r="21" spans="1:6" x14ac:dyDescent="0.25">
      <c r="A21" s="15">
        <f>-1.3+0.05*15</f>
        <v>-0.55000000000000004</v>
      </c>
      <c r="B21" s="15">
        <f t="shared" si="0"/>
        <v>0.30250000000000005</v>
      </c>
      <c r="C21" s="15">
        <f t="shared" si="1"/>
        <v>0.85252452205950568</v>
      </c>
      <c r="E21" s="15">
        <f>(-$B$3+5*2*$B$3/40)</f>
        <v>-0.61809897422790527</v>
      </c>
      <c r="F21" s="15">
        <f>(-$B$3+5*2*$B$3/40)^2</f>
        <v>0.38204634194158871</v>
      </c>
    </row>
    <row r="22" spans="1:6" x14ac:dyDescent="0.25">
      <c r="A22" s="15">
        <f>-1.3+0.05*16</f>
        <v>-0.5</v>
      </c>
      <c r="B22" s="15">
        <f t="shared" si="0"/>
        <v>0.25</v>
      </c>
      <c r="C22" s="15">
        <f t="shared" si="1"/>
        <v>0.87758256189037276</v>
      </c>
      <c r="E22" s="15">
        <f>(-$B$3+5*2*$B$3/40)</f>
        <v>-0.61809897422790527</v>
      </c>
      <c r="F22" s="15">
        <f>COS((-$B$3+5*2*$B$3/40))</f>
        <v>0.8149815481750905</v>
      </c>
    </row>
    <row r="23" spans="1:6" x14ac:dyDescent="0.25">
      <c r="A23" s="15">
        <f>-1.3+0.05*17</f>
        <v>-0.44999999999999996</v>
      </c>
      <c r="B23" s="15">
        <f t="shared" si="0"/>
        <v>0.20249999999999996</v>
      </c>
      <c r="C23" s="15">
        <f t="shared" si="1"/>
        <v>0.90044710235267689</v>
      </c>
    </row>
    <row r="24" spans="1:6" x14ac:dyDescent="0.25">
      <c r="A24" s="15">
        <f>-1.3+0.05*18</f>
        <v>-0.4</v>
      </c>
      <c r="B24" s="15">
        <f t="shared" si="0"/>
        <v>0.16000000000000003</v>
      </c>
      <c r="C24" s="15">
        <f t="shared" si="1"/>
        <v>0.9210609940028851</v>
      </c>
      <c r="E24" s="15">
        <f>(-$B$3+6*2*$B$3/40)</f>
        <v>-0.57689237594604492</v>
      </c>
      <c r="F24" s="15">
        <f>(-$B$3+6*2*$B$3/40)^2</f>
        <v>0.33280481342467283</v>
      </c>
    </row>
    <row r="25" spans="1:6" x14ac:dyDescent="0.25">
      <c r="A25" s="15">
        <f>-1.3+0.05*19</f>
        <v>-0.35</v>
      </c>
      <c r="B25" s="15">
        <f t="shared" si="0"/>
        <v>0.12249999999999998</v>
      </c>
      <c r="C25" s="15">
        <f t="shared" si="1"/>
        <v>0.93937271284737889</v>
      </c>
      <c r="E25" s="15">
        <f>(-$B$3+6*2*$B$3/40)</f>
        <v>-0.57689237594604492</v>
      </c>
      <c r="F25" s="15">
        <f>COS((-$B$3+6*2*$B$3/40))</f>
        <v>0.83816166054862484</v>
      </c>
    </row>
    <row r="26" spans="1:6" x14ac:dyDescent="0.25">
      <c r="A26" s="15">
        <f>-1.3+0.05*20</f>
        <v>-0.30000000000000004</v>
      </c>
      <c r="B26" s="15">
        <f t="shared" si="0"/>
        <v>9.0000000000000024E-2</v>
      </c>
      <c r="C26" s="15">
        <f t="shared" si="1"/>
        <v>0.95533648912560598</v>
      </c>
    </row>
    <row r="27" spans="1:6" x14ac:dyDescent="0.25">
      <c r="A27" s="15">
        <f>-1.3+0.05*21</f>
        <v>-0.25</v>
      </c>
      <c r="B27" s="15">
        <f t="shared" si="0"/>
        <v>6.25E-2</v>
      </c>
      <c r="C27" s="15">
        <f t="shared" si="1"/>
        <v>0.96891242171064473</v>
      </c>
      <c r="E27" s="15">
        <f>(-$B$3+7*2*$B$3/40)</f>
        <v>-0.53568577766418457</v>
      </c>
      <c r="F27" s="15">
        <f>(-$B$3+7*2*$B$3/40)^2</f>
        <v>0.28695925239168218</v>
      </c>
    </row>
    <row r="28" spans="1:6" x14ac:dyDescent="0.25">
      <c r="A28" s="15">
        <f>-1.3+0.05*22</f>
        <v>-0.19999999999999996</v>
      </c>
      <c r="B28" s="15">
        <f t="shared" si="0"/>
        <v>3.999999999999998E-2</v>
      </c>
      <c r="C28" s="15">
        <f t="shared" si="1"/>
        <v>0.98006657784124163</v>
      </c>
      <c r="E28" s="15">
        <f>(-$B$3+7*2*$B$3/40)</f>
        <v>-0.53568577766418457</v>
      </c>
      <c r="F28" s="15">
        <f>COS((-$B$3+7*2*$B$3/40))</f>
        <v>0.85991878941674504</v>
      </c>
    </row>
    <row r="29" spans="1:6" x14ac:dyDescent="0.25">
      <c r="A29" s="15">
        <f>-1.3+0.05*23</f>
        <v>-0.14999999999999991</v>
      </c>
      <c r="B29" s="15">
        <f t="shared" si="0"/>
        <v>2.2499999999999975E-2</v>
      </c>
      <c r="C29" s="15">
        <f t="shared" si="1"/>
        <v>0.98877107793604235</v>
      </c>
    </row>
    <row r="30" spans="1:6" x14ac:dyDescent="0.25">
      <c r="A30" s="15">
        <f>-1.3+0.05*24</f>
        <v>-9.9999999999999867E-2</v>
      </c>
      <c r="B30" s="15">
        <f t="shared" si="0"/>
        <v>9.9999999999999742E-3</v>
      </c>
      <c r="C30" s="15">
        <f t="shared" si="1"/>
        <v>0.99500416527802582</v>
      </c>
      <c r="E30" s="15">
        <f>(-$B$3+8*2*$B$3/40)</f>
        <v>-0.49447917938232422</v>
      </c>
      <c r="F30" s="15">
        <f>(-$B$3+8*2*$B$3/40)^2</f>
        <v>0.24450965884261677</v>
      </c>
    </row>
    <row r="31" spans="1:6" x14ac:dyDescent="0.25">
      <c r="A31" s="15">
        <f>-1.3+0.05*25</f>
        <v>-5.0000000000000044E-2</v>
      </c>
      <c r="B31" s="15">
        <f t="shared" si="0"/>
        <v>2.5000000000000044E-3</v>
      </c>
      <c r="C31" s="15">
        <f t="shared" si="1"/>
        <v>0.99875026039496628</v>
      </c>
      <c r="E31" s="15">
        <f>(-$B$3+8*2*$B$3/40)</f>
        <v>-0.49447917938232422</v>
      </c>
      <c r="F31" s="15">
        <f>COS((-$B$3+8*2*$B$3/40))</f>
        <v>0.88021599675548523</v>
      </c>
    </row>
    <row r="32" spans="1:6" x14ac:dyDescent="0.25">
      <c r="A32" s="15">
        <f>-1.3+0.05*26</f>
        <v>0</v>
      </c>
      <c r="B32" s="15">
        <f t="shared" si="0"/>
        <v>0</v>
      </c>
      <c r="C32" s="15">
        <f t="shared" si="1"/>
        <v>1</v>
      </c>
    </row>
    <row r="33" spans="1:6" x14ac:dyDescent="0.25">
      <c r="A33" s="15">
        <f>-1.3+0.05*27</f>
        <v>5.0000000000000044E-2</v>
      </c>
      <c r="B33" s="15">
        <f t="shared" si="0"/>
        <v>2.5000000000000044E-3</v>
      </c>
      <c r="C33" s="15">
        <f t="shared" si="1"/>
        <v>0.99875026039496628</v>
      </c>
      <c r="E33" s="15">
        <f>(-$B$3+9*2*$B$3/40)</f>
        <v>-0.45327258110046387</v>
      </c>
      <c r="F33" s="15">
        <f>(-$B$3+9*2*$B$3/40)^2</f>
        <v>0.20545603277747659</v>
      </c>
    </row>
    <row r="34" spans="1:6" x14ac:dyDescent="0.25">
      <c r="A34" s="15">
        <f>-1.3+0.05*28</f>
        <v>0.10000000000000009</v>
      </c>
      <c r="B34" s="15">
        <f t="shared" si="0"/>
        <v>1.0000000000000018E-2</v>
      </c>
      <c r="C34" s="15">
        <f t="shared" si="1"/>
        <v>0.99500416527802571</v>
      </c>
      <c r="E34" s="15">
        <f>(-$B$3+9*2*$B$3/40)</f>
        <v>-0.45327258110046387</v>
      </c>
      <c r="F34" s="15">
        <f>COS((-$B$3+9*2*$B$3/40))</f>
        <v>0.89901882311315684</v>
      </c>
    </row>
    <row r="35" spans="1:6" x14ac:dyDescent="0.25">
      <c r="A35" s="15">
        <f>-1.3+0.05*29</f>
        <v>0.15000000000000013</v>
      </c>
      <c r="B35" s="15">
        <f t="shared" si="0"/>
        <v>2.2500000000000041E-2</v>
      </c>
      <c r="C35" s="15">
        <f t="shared" si="1"/>
        <v>0.98877107793604224</v>
      </c>
    </row>
    <row r="36" spans="1:6" x14ac:dyDescent="0.25">
      <c r="A36" s="15">
        <f>-1.3+0.05*30</f>
        <v>0.19999999999999996</v>
      </c>
      <c r="B36" s="15">
        <f t="shared" si="0"/>
        <v>3.999999999999998E-2</v>
      </c>
      <c r="C36" s="15">
        <f t="shared" si="1"/>
        <v>0.98006657784124163</v>
      </c>
      <c r="E36" s="15">
        <f>(-$B$3+10*2*$B$3/40)</f>
        <v>-0.41206598281860352</v>
      </c>
      <c r="F36" s="15">
        <f>(-$B$3+10*2*$B$3/40)^2</f>
        <v>0.16979837419626165</v>
      </c>
    </row>
    <row r="37" spans="1:6" x14ac:dyDescent="0.25">
      <c r="A37" s="15">
        <f>-1.3+0.05*31</f>
        <v>0.25</v>
      </c>
      <c r="B37" s="15">
        <f t="shared" si="0"/>
        <v>6.25E-2</v>
      </c>
      <c r="C37" s="15">
        <f t="shared" si="1"/>
        <v>0.96891242171064473</v>
      </c>
      <c r="E37" s="15">
        <f>(-$B$3+10*2*$B$3/40)</f>
        <v>-0.41206598281860352</v>
      </c>
      <c r="F37" s="15">
        <f>COS((-$B$3+10*2*$B$3/40))</f>
        <v>0.91629534611365793</v>
      </c>
    </row>
    <row r="38" spans="1:6" x14ac:dyDescent="0.25">
      <c r="A38" s="15">
        <f>-1.3+0.05*32</f>
        <v>0.30000000000000004</v>
      </c>
      <c r="B38" s="15">
        <f t="shared" ref="B38:B69" si="2">A38^2</f>
        <v>9.0000000000000024E-2</v>
      </c>
      <c r="C38" s="15">
        <f t="shared" ref="C38:C58" si="3">COS(A38)</f>
        <v>0.95533648912560598</v>
      </c>
    </row>
    <row r="39" spans="1:6" x14ac:dyDescent="0.25">
      <c r="A39" s="15">
        <f>-1.3+0.05*33</f>
        <v>0.35000000000000009</v>
      </c>
      <c r="B39" s="15">
        <f t="shared" si="2"/>
        <v>0.12250000000000007</v>
      </c>
      <c r="C39" s="15">
        <f t="shared" si="3"/>
        <v>0.93937271284737889</v>
      </c>
      <c r="E39" s="15">
        <f>(-$B$3+11*2*$B$3/40)</f>
        <v>-0.37085938453674316</v>
      </c>
      <c r="F39" s="15">
        <f>(-$B$3+11*2*$B$3/40)^2</f>
        <v>0.13753668309897193</v>
      </c>
    </row>
    <row r="40" spans="1:6" x14ac:dyDescent="0.25">
      <c r="A40" s="15">
        <f>-1.3+0.05*34</f>
        <v>0.40000000000000013</v>
      </c>
      <c r="B40" s="15">
        <f t="shared" si="2"/>
        <v>0.16000000000000011</v>
      </c>
      <c r="C40" s="15">
        <f t="shared" si="3"/>
        <v>0.92106099400288499</v>
      </c>
      <c r="E40" s="15">
        <f>(-$B$3+11*2*$B$3/40)</f>
        <v>-0.37085938453674316</v>
      </c>
      <c r="F40" s="15">
        <f>COS((-$B$3+11*2*$B$3/40))</f>
        <v>0.93201623465247996</v>
      </c>
    </row>
    <row r="41" spans="1:6" x14ac:dyDescent="0.25">
      <c r="A41" s="15">
        <f>-1.3+0.05*35</f>
        <v>0.44999999999999996</v>
      </c>
      <c r="B41" s="15">
        <f t="shared" si="2"/>
        <v>0.20249999999999996</v>
      </c>
      <c r="C41" s="15">
        <f t="shared" si="3"/>
        <v>0.90044710235267689</v>
      </c>
    </row>
    <row r="42" spans="1:6" x14ac:dyDescent="0.25">
      <c r="A42" s="15">
        <f>-1.3+0.05*36</f>
        <v>0.5</v>
      </c>
      <c r="B42" s="15">
        <f t="shared" si="2"/>
        <v>0.25</v>
      </c>
      <c r="C42" s="15">
        <f t="shared" si="3"/>
        <v>0.87758256189037276</v>
      </c>
      <c r="E42" s="15">
        <f>(-$B$3+12*2*$B$3/40)</f>
        <v>-0.32965278625488281</v>
      </c>
      <c r="F42" s="15">
        <f>(-$B$3+12*2*$B$3/40)^2</f>
        <v>0.10867095948560745</v>
      </c>
    </row>
    <row r="43" spans="1:6" x14ac:dyDescent="0.25">
      <c r="A43" s="15">
        <f>-1.3+0.05*37</f>
        <v>0.55000000000000004</v>
      </c>
      <c r="B43" s="15">
        <f t="shared" si="2"/>
        <v>0.30250000000000005</v>
      </c>
      <c r="C43" s="15">
        <f t="shared" si="3"/>
        <v>0.85252452205950568</v>
      </c>
      <c r="E43" s="15">
        <f>(-$B$3+12*2*$B$3/40)</f>
        <v>-0.32965278625488281</v>
      </c>
      <c r="F43" s="15">
        <f>COS((-$B$3+12*2*$B$3/40))</f>
        <v>0.94615479869339958</v>
      </c>
    </row>
    <row r="44" spans="1:6" x14ac:dyDescent="0.25">
      <c r="A44" s="15">
        <f>-1.3+0.05*38</f>
        <v>0.60000000000000009</v>
      </c>
      <c r="B44" s="15">
        <f t="shared" si="2"/>
        <v>0.3600000000000001</v>
      </c>
      <c r="C44" s="15">
        <f t="shared" si="3"/>
        <v>0.82533561490967822</v>
      </c>
    </row>
    <row r="45" spans="1:6" x14ac:dyDescent="0.25">
      <c r="A45" s="15">
        <f>-1.3+0.05*39</f>
        <v>0.65000000000000013</v>
      </c>
      <c r="B45" s="15">
        <f t="shared" si="2"/>
        <v>0.42250000000000015</v>
      </c>
      <c r="C45" s="15">
        <f t="shared" si="3"/>
        <v>0.79608379854905575</v>
      </c>
      <c r="E45" s="15">
        <f>(-$B$3+13*2*$B$3/40)</f>
        <v>-0.28844618797302246</v>
      </c>
      <c r="F45" s="15">
        <f>(-$B$3+13*2*$B$3/40)^2</f>
        <v>8.3201203356168207E-2</v>
      </c>
    </row>
    <row r="46" spans="1:6" x14ac:dyDescent="0.25">
      <c r="A46" s="15">
        <f>-1.3+0.05*40</f>
        <v>0.7</v>
      </c>
      <c r="B46" s="15">
        <f t="shared" si="2"/>
        <v>0.48999999999999994</v>
      </c>
      <c r="C46" s="15">
        <f t="shared" si="3"/>
        <v>0.7648421872844885</v>
      </c>
      <c r="E46" s="15">
        <f>(-$B$3+13*2*$B$3/40)</f>
        <v>-0.28844618797302246</v>
      </c>
      <c r="F46" s="15">
        <f>COS((-$B$3+13*2*$B$3/40))</f>
        <v>0.95868703458131344</v>
      </c>
    </row>
    <row r="47" spans="1:6" x14ac:dyDescent="0.25">
      <c r="A47" s="15">
        <f>-1.3+0.05*41</f>
        <v>0.75000000000000022</v>
      </c>
      <c r="B47" s="15">
        <f t="shared" si="2"/>
        <v>0.56250000000000033</v>
      </c>
      <c r="C47" s="15">
        <f t="shared" si="3"/>
        <v>0.73168886887382079</v>
      </c>
    </row>
    <row r="48" spans="1:6" x14ac:dyDescent="0.25">
      <c r="A48" s="15">
        <f>-1.3+0.05*42</f>
        <v>0.8</v>
      </c>
      <c r="B48" s="15">
        <f t="shared" si="2"/>
        <v>0.64000000000000012</v>
      </c>
      <c r="C48" s="15">
        <f t="shared" si="3"/>
        <v>0.69670670934716539</v>
      </c>
      <c r="E48" s="15">
        <f>(-$B$3+14*2*$B$3/40)</f>
        <v>-0.24723958969116211</v>
      </c>
      <c r="F48" s="15">
        <f>(-$B$3+14*2*$B$3/40)^2</f>
        <v>6.1127414710654193E-2</v>
      </c>
    </row>
    <row r="49" spans="1:6" x14ac:dyDescent="0.25">
      <c r="A49" s="15">
        <f>-1.3+0.05*43</f>
        <v>0.84999999999999987</v>
      </c>
      <c r="B49" s="15">
        <f t="shared" si="2"/>
        <v>0.72249999999999981</v>
      </c>
      <c r="C49" s="15">
        <f t="shared" si="3"/>
        <v>0.6599831458849823</v>
      </c>
      <c r="E49" s="15">
        <f>(-$B$3+14*2*$B$3/40)</f>
        <v>-0.24723958969116211</v>
      </c>
      <c r="F49" s="15">
        <f>COS((-$B$3+14*2*$B$3/40))</f>
        <v>0.96959166579428813</v>
      </c>
    </row>
    <row r="50" spans="1:6" x14ac:dyDescent="0.25">
      <c r="A50" s="15">
        <f>-1.3+0.05*44</f>
        <v>0.90000000000000013</v>
      </c>
      <c r="B50" s="15">
        <f t="shared" si="2"/>
        <v>0.81000000000000028</v>
      </c>
      <c r="C50" s="15">
        <f t="shared" si="3"/>
        <v>0.62160996827066439</v>
      </c>
    </row>
    <row r="51" spans="1:6" x14ac:dyDescent="0.25">
      <c r="A51" s="15">
        <f>-1.3+0.05*45</f>
        <v>0.95</v>
      </c>
      <c r="B51" s="15">
        <f t="shared" si="2"/>
        <v>0.90249999999999997</v>
      </c>
      <c r="C51" s="15">
        <f t="shared" si="3"/>
        <v>0.58168308946388358</v>
      </c>
      <c r="E51" s="15">
        <f>(-$B$3+15*2*$B$3/40)</f>
        <v>-0.20603299140930176</v>
      </c>
      <c r="F51" s="15">
        <f>(-$B$3+15*2*$B$3/40)^2</f>
        <v>4.2449593549065412E-2</v>
      </c>
    </row>
    <row r="52" spans="1:6" x14ac:dyDescent="0.25">
      <c r="A52" s="15">
        <f>-1.3+0.05*46</f>
        <v>1.0000000000000002</v>
      </c>
      <c r="B52" s="15">
        <f t="shared" si="2"/>
        <v>1.0000000000000004</v>
      </c>
      <c r="C52" s="15">
        <f t="shared" si="3"/>
        <v>0.54030230586813954</v>
      </c>
      <c r="E52" s="15">
        <f>(-$B$3+15*2*$B$3/40)</f>
        <v>-0.20603299140930176</v>
      </c>
      <c r="F52" s="15">
        <f>COS((-$B$3+15*2*$B$3/40))</f>
        <v>0.97885017906563665</v>
      </c>
    </row>
    <row r="53" spans="1:6" x14ac:dyDescent="0.25">
      <c r="A53" s="15">
        <f>-1.3+0.05*47</f>
        <v>1.05</v>
      </c>
      <c r="B53" s="15">
        <f t="shared" si="2"/>
        <v>1.1025</v>
      </c>
      <c r="C53" s="15">
        <f t="shared" si="3"/>
        <v>0.49757104789172696</v>
      </c>
    </row>
    <row r="54" spans="1:6" x14ac:dyDescent="0.25">
      <c r="A54" s="15">
        <f>-1.3+0.05*48</f>
        <v>1.1000000000000003</v>
      </c>
      <c r="B54" s="15">
        <f t="shared" si="2"/>
        <v>1.2100000000000006</v>
      </c>
      <c r="C54" s="15">
        <f t="shared" si="3"/>
        <v>0.45359612142557709</v>
      </c>
      <c r="E54" s="15">
        <f>(-$B$3+16*2*$B$3/40)</f>
        <v>-0.16482639312744141</v>
      </c>
      <c r="F54" s="15">
        <f>(-$B$3+16*2*$B$3/40)^2</f>
        <v>2.7167739871401864E-2</v>
      </c>
    </row>
    <row r="55" spans="1:6" x14ac:dyDescent="0.25">
      <c r="A55" s="15">
        <f>-1.3+0.05*49</f>
        <v>1.1500000000000001</v>
      </c>
      <c r="B55" s="15">
        <f t="shared" si="2"/>
        <v>1.3225000000000002</v>
      </c>
      <c r="C55" s="15">
        <f t="shared" si="3"/>
        <v>0.40848744088415717</v>
      </c>
      <c r="E55" s="15">
        <f>(-$B$3+16*2*$B$3/40)</f>
        <v>-0.16482639312744141</v>
      </c>
      <c r="F55" s="15">
        <f>COS((-$B$3+16*2*$B$3/40))</f>
        <v>0.98644685581469604</v>
      </c>
    </row>
    <row r="56" spans="1:6" x14ac:dyDescent="0.25">
      <c r="A56" s="15">
        <f>-1.3+0.05*50</f>
        <v>1.2</v>
      </c>
      <c r="B56" s="15">
        <f t="shared" si="2"/>
        <v>1.44</v>
      </c>
      <c r="C56" s="15">
        <f t="shared" si="3"/>
        <v>0.36235775447667362</v>
      </c>
    </row>
    <row r="57" spans="1:6" x14ac:dyDescent="0.25">
      <c r="A57" s="15">
        <f>-1.3+0.05*51</f>
        <v>1.2500000000000002</v>
      </c>
      <c r="B57" s="15">
        <f t="shared" si="2"/>
        <v>1.5625000000000004</v>
      </c>
      <c r="C57" s="15">
        <f t="shared" si="3"/>
        <v>0.31532236239526845</v>
      </c>
      <c r="E57" s="15">
        <f>(-$B$3+17*2*$B$3/40)</f>
        <v>-0.12361979484558105</v>
      </c>
      <c r="F57" s="15">
        <f>(-$B$3+17*2*$B$3/40)^2</f>
        <v>1.5281853677663548E-2</v>
      </c>
    </row>
    <row r="58" spans="1:6" x14ac:dyDescent="0.25">
      <c r="A58" s="15">
        <f>-1.3+0.05*52</f>
        <v>1.3</v>
      </c>
      <c r="B58" s="15">
        <f t="shared" si="2"/>
        <v>1.6900000000000002</v>
      </c>
      <c r="C58" s="15">
        <f t="shared" si="3"/>
        <v>0.26749882862458735</v>
      </c>
      <c r="E58" s="15">
        <f>(-$B$3+17*2*$B$3/40)</f>
        <v>-0.12361979484558105</v>
      </c>
      <c r="F58" s="15">
        <f>COS((-$B$3+17*2*$B$3/40))</f>
        <v>0.99236879883294604</v>
      </c>
    </row>
    <row r="60" spans="1:6" x14ac:dyDescent="0.25">
      <c r="E60" s="15">
        <f>(-$B$3+18*2*$B$3/40)</f>
        <v>-8.2413196563720703E-2</v>
      </c>
      <c r="F60" s="15">
        <f>(-$B$3+18*2*$B$3/40)^2</f>
        <v>6.7919349678504659E-3</v>
      </c>
    </row>
    <row r="61" spans="1:6" x14ac:dyDescent="0.25">
      <c r="E61" s="15">
        <f>(-$B$3+18*2*$B$3/40)</f>
        <v>-8.2413196563720703E-2</v>
      </c>
      <c r="F61" s="15">
        <f>COS((-$B$3+18*2*$B$3/40))</f>
        <v>0.9966059541801604</v>
      </c>
    </row>
    <row r="63" spans="1:6" x14ac:dyDescent="0.25">
      <c r="E63" s="15">
        <f>(-$B$3+19*2*$B$3/40)</f>
        <v>-4.1206598281860352E-2</v>
      </c>
      <c r="F63" s="15">
        <f>(-$B$3+19*2*$B$3/40)^2</f>
        <v>1.6979837419626165E-3</v>
      </c>
    </row>
    <row r="64" spans="1:6" x14ac:dyDescent="0.25">
      <c r="E64" s="15">
        <f>(-$B$3+19*2*$B$3/40)</f>
        <v>-4.1206598281860352E-2</v>
      </c>
      <c r="F64" s="15">
        <f>COS((-$B$3+19*2*$B$3/40))</f>
        <v>0.99915112825341901</v>
      </c>
    </row>
    <row r="66" spans="5:6" x14ac:dyDescent="0.25">
      <c r="E66" s="15">
        <f>(-$B$3+20*2*$B$3/40)</f>
        <v>0</v>
      </c>
      <c r="F66" s="15">
        <f>(-$B$3+20*2*$B$3/40)^2</f>
        <v>0</v>
      </c>
    </row>
    <row r="67" spans="5:6" x14ac:dyDescent="0.25">
      <c r="E67" s="15">
        <f>(-$B$3+20*2*$B$3/40)</f>
        <v>0</v>
      </c>
      <c r="F67" s="15">
        <f>COS((-$B$3+20*2*$B$3/40))</f>
        <v>1</v>
      </c>
    </row>
    <row r="69" spans="5:6" x14ac:dyDescent="0.25">
      <c r="E69" s="15">
        <f>(-$B$3+21*2*$B$3/40)</f>
        <v>4.1206598281860352E-2</v>
      </c>
      <c r="F69" s="15">
        <f>(-$B$3+21*2*$B$3/40)^2</f>
        <v>1.6979837419626165E-3</v>
      </c>
    </row>
    <row r="70" spans="5:6" x14ac:dyDescent="0.25">
      <c r="E70" s="15">
        <f>(-$B$3+21*2*$B$3/40)</f>
        <v>4.1206598281860352E-2</v>
      </c>
      <c r="F70" s="15">
        <f>COS((-$B$3+21*2*$B$3/40))</f>
        <v>0.99915112825341901</v>
      </c>
    </row>
    <row r="72" spans="5:6" x14ac:dyDescent="0.25">
      <c r="E72" s="15">
        <f>(-$B$3+22*2*$B$3/40)</f>
        <v>8.2413196563720703E-2</v>
      </c>
      <c r="F72" s="15">
        <f>(-$B$3+22*2*$B$3/40)^2</f>
        <v>6.7919349678504659E-3</v>
      </c>
    </row>
    <row r="73" spans="5:6" x14ac:dyDescent="0.25">
      <c r="E73" s="15">
        <f>(-$B$3+22*2*$B$3/40)</f>
        <v>8.2413196563720703E-2</v>
      </c>
      <c r="F73" s="15">
        <f>COS((-$B$3+22*2*$B$3/40))</f>
        <v>0.9966059541801604</v>
      </c>
    </row>
    <row r="75" spans="5:6" x14ac:dyDescent="0.25">
      <c r="E75" s="15">
        <f>(-$B$3+23*2*$B$3/40)</f>
        <v>0.12361979484558105</v>
      </c>
      <c r="F75" s="15">
        <f>(-$B$3+23*2*$B$3/40)^2</f>
        <v>1.5281853677663548E-2</v>
      </c>
    </row>
    <row r="76" spans="5:6" x14ac:dyDescent="0.25">
      <c r="E76" s="15">
        <f>(-$B$3+23*2*$B$3/40)</f>
        <v>0.12361979484558105</v>
      </c>
      <c r="F76" s="15">
        <f>COS((-$B$3+23*2*$B$3/40))</f>
        <v>0.99236879883294604</v>
      </c>
    </row>
    <row r="78" spans="5:6" x14ac:dyDescent="0.25">
      <c r="E78" s="15">
        <f>(-$B$3+24*2*$B$3/40)</f>
        <v>0.16482639312744141</v>
      </c>
      <c r="F78" s="15">
        <f>(-$B$3+24*2*$B$3/40)^2</f>
        <v>2.7167739871401864E-2</v>
      </c>
    </row>
    <row r="79" spans="5:6" x14ac:dyDescent="0.25">
      <c r="E79" s="15">
        <f>(-$B$3+24*2*$B$3/40)</f>
        <v>0.16482639312744141</v>
      </c>
      <c r="F79" s="15">
        <f>COS((-$B$3+24*2*$B$3/40))</f>
        <v>0.98644685581469604</v>
      </c>
    </row>
    <row r="81" spans="5:6" x14ac:dyDescent="0.25">
      <c r="E81" s="15">
        <f>(-$B$3+25*2*$B$3/40)</f>
        <v>0.20603299140930176</v>
      </c>
      <c r="F81" s="15">
        <f>(-$B$3+25*2*$B$3/40)^2</f>
        <v>4.2449593549065412E-2</v>
      </c>
    </row>
    <row r="82" spans="5:6" x14ac:dyDescent="0.25">
      <c r="E82" s="15">
        <f>(-$B$3+25*2*$B$3/40)</f>
        <v>0.20603299140930176</v>
      </c>
      <c r="F82" s="15">
        <f>COS((-$B$3+25*2*$B$3/40))</f>
        <v>0.97885017906563665</v>
      </c>
    </row>
    <row r="84" spans="5:6" x14ac:dyDescent="0.25">
      <c r="E84" s="15">
        <f>(-$B$3+26*2*$B$3/40)</f>
        <v>0.24723958969116211</v>
      </c>
      <c r="F84" s="15">
        <f>(-$B$3+26*2*$B$3/40)^2</f>
        <v>6.1127414710654193E-2</v>
      </c>
    </row>
    <row r="85" spans="5:6" x14ac:dyDescent="0.25">
      <c r="E85" s="15">
        <f>(-$B$3+26*2*$B$3/40)</f>
        <v>0.24723958969116211</v>
      </c>
      <c r="F85" s="15">
        <f>COS((-$B$3+26*2*$B$3/40))</f>
        <v>0.96959166579428813</v>
      </c>
    </row>
    <row r="87" spans="5:6" x14ac:dyDescent="0.25">
      <c r="E87" s="15">
        <f>(-$B$3+27*2*$B$3/40)</f>
        <v>0.28844618797302246</v>
      </c>
      <c r="F87" s="15">
        <f>(-$B$3+27*2*$B$3/40)^2</f>
        <v>8.3201203356168207E-2</v>
      </c>
    </row>
    <row r="88" spans="5:6" x14ac:dyDescent="0.25">
      <c r="E88" s="15">
        <f>(-$B$3+27*2*$B$3/40)</f>
        <v>0.28844618797302246</v>
      </c>
      <c r="F88" s="15">
        <f>COS((-$B$3+27*2*$B$3/40))</f>
        <v>0.95868703458131344</v>
      </c>
    </row>
    <row r="90" spans="5:6" x14ac:dyDescent="0.25">
      <c r="E90" s="15">
        <f>(-$B$3+28*2*$B$3/40)</f>
        <v>0.32965278625488281</v>
      </c>
      <c r="F90" s="15">
        <f>(-$B$3+28*2*$B$3/40)^2</f>
        <v>0.10867095948560745</v>
      </c>
    </row>
    <row r="91" spans="5:6" x14ac:dyDescent="0.25">
      <c r="E91" s="15">
        <f>(-$B$3+28*2*$B$3/40)</f>
        <v>0.32965278625488281</v>
      </c>
      <c r="F91" s="15">
        <f>COS((-$B$3+28*2*$B$3/40))</f>
        <v>0.94615479869339958</v>
      </c>
    </row>
    <row r="93" spans="5:6" x14ac:dyDescent="0.25">
      <c r="E93" s="15">
        <f>(-$B$3+29*2*$B$3/40)</f>
        <v>0.37085938453674316</v>
      </c>
      <c r="F93" s="15">
        <f>(-$B$3+29*2*$B$3/40)^2</f>
        <v>0.13753668309897193</v>
      </c>
    </row>
    <row r="94" spans="5:6" x14ac:dyDescent="0.25">
      <c r="E94" s="15">
        <f>(-$B$3+29*2*$B$3/40)</f>
        <v>0.37085938453674316</v>
      </c>
      <c r="F94" s="15">
        <f>COS((-$B$3+29*2*$B$3/40))</f>
        <v>0.93201623465247996</v>
      </c>
    </row>
    <row r="96" spans="5:6" x14ac:dyDescent="0.25">
      <c r="E96" s="15">
        <f>(-$B$3+30*2*$B$3/40)</f>
        <v>0.41206598281860352</v>
      </c>
      <c r="F96" s="15">
        <f>(-$B$3+30*2*$B$3/40)^2</f>
        <v>0.16979837419626165</v>
      </c>
    </row>
    <row r="97" spans="5:6" x14ac:dyDescent="0.25">
      <c r="E97" s="15">
        <f>(-$B$3+30*2*$B$3/40)</f>
        <v>0.41206598281860352</v>
      </c>
      <c r="F97" s="15">
        <f>COS((-$B$3+30*2*$B$3/40))</f>
        <v>0.91629534611365793</v>
      </c>
    </row>
    <row r="99" spans="5:6" x14ac:dyDescent="0.25">
      <c r="E99" s="15">
        <f>(-$B$3+31*2*$B$3/40)</f>
        <v>0.45327258110046387</v>
      </c>
      <c r="F99" s="15">
        <f>(-$B$3+31*2*$B$3/40)^2</f>
        <v>0.20545603277747659</v>
      </c>
    </row>
    <row r="100" spans="5:6" x14ac:dyDescent="0.25">
      <c r="E100" s="15">
        <f>(-$B$3+31*2*$B$3/40)</f>
        <v>0.45327258110046387</v>
      </c>
      <c r="F100" s="15">
        <f>COS((-$B$3+31*2*$B$3/40))</f>
        <v>0.89901882311315684</v>
      </c>
    </row>
    <row r="102" spans="5:6" x14ac:dyDescent="0.25">
      <c r="E102" s="15">
        <f>(-$B$3+32*2*$B$3/40)</f>
        <v>0.49447917938232422</v>
      </c>
      <c r="F102" s="15">
        <f>(-$B$3+32*2*$B$3/40)^2</f>
        <v>0.24450965884261677</v>
      </c>
    </row>
    <row r="103" spans="5:6" x14ac:dyDescent="0.25">
      <c r="E103" s="15">
        <f>(-$B$3+32*2*$B$3/40)</f>
        <v>0.49447917938232422</v>
      </c>
      <c r="F103" s="15">
        <f>COS((-$B$3+32*2*$B$3/40))</f>
        <v>0.88021599675548523</v>
      </c>
    </row>
    <row r="105" spans="5:6" x14ac:dyDescent="0.25">
      <c r="E105" s="15">
        <f>(-$B$3+33*2*$B$3/40)</f>
        <v>0.53568577766418457</v>
      </c>
      <c r="F105" s="15">
        <f>(-$B$3+33*2*$B$3/40)^2</f>
        <v>0.28695925239168218</v>
      </c>
    </row>
    <row r="106" spans="5:6" x14ac:dyDescent="0.25">
      <c r="E106" s="15">
        <f>(-$B$3+33*2*$B$3/40)</f>
        <v>0.53568577766418457</v>
      </c>
      <c r="F106" s="15">
        <f>COS((-$B$3+33*2*$B$3/40))</f>
        <v>0.85991878941674504</v>
      </c>
    </row>
    <row r="108" spans="5:6" x14ac:dyDescent="0.25">
      <c r="E108" s="15">
        <f>(-$B$3+34*2*$B$3/40)</f>
        <v>0.57689237594604492</v>
      </c>
      <c r="F108" s="15">
        <f>(-$B$3+34*2*$B$3/40)^2</f>
        <v>0.33280481342467283</v>
      </c>
    </row>
    <row r="109" spans="5:6" x14ac:dyDescent="0.25">
      <c r="E109" s="15">
        <f>(-$B$3+34*2*$B$3/40)</f>
        <v>0.57689237594604492</v>
      </c>
      <c r="F109" s="15">
        <f>COS((-$B$3+34*2*$B$3/40))</f>
        <v>0.83816166054862484</v>
      </c>
    </row>
    <row r="111" spans="5:6" x14ac:dyDescent="0.25">
      <c r="E111" s="15">
        <f>(-$B$3+35*2*$B$3/40)</f>
        <v>0.61809897422790527</v>
      </c>
      <c r="F111" s="15">
        <f>(-$B$3+35*2*$B$3/40)^2</f>
        <v>0.38204634194158871</v>
      </c>
    </row>
    <row r="112" spans="5:6" x14ac:dyDescent="0.25">
      <c r="E112" s="15">
        <f>(-$B$3+35*2*$B$3/40)</f>
        <v>0.61809897422790527</v>
      </c>
      <c r="F112" s="15">
        <f>COS((-$B$3+35*2*$B$3/40))</f>
        <v>0.8149815481750905</v>
      </c>
    </row>
    <row r="114" spans="5:6" x14ac:dyDescent="0.25">
      <c r="E114" s="15">
        <f>(-$B$3+36*2*$B$3/40)</f>
        <v>0.65930557250976563</v>
      </c>
      <c r="F114" s="15">
        <f>(-$B$3+36*2*$B$3/40)^2</f>
        <v>0.43468383794242982</v>
      </c>
    </row>
    <row r="115" spans="5:6" x14ac:dyDescent="0.25">
      <c r="E115" s="15">
        <f>(-$B$3+36*2*$B$3/40)</f>
        <v>0.65930557250976563</v>
      </c>
      <c r="F115" s="15">
        <f>COS((-$B$3+36*2*$B$3/40))</f>
        <v>0.79041780618109481</v>
      </c>
    </row>
    <row r="117" spans="5:6" x14ac:dyDescent="0.25">
      <c r="E117" s="15">
        <f>(-$B$3+37*2*$B$3/40)</f>
        <v>0.70051217079162598</v>
      </c>
      <c r="F117" s="15">
        <f>(-$B$3+37*2*$B$3/40)^2</f>
        <v>0.49071730142719616</v>
      </c>
    </row>
    <row r="118" spans="5:6" x14ac:dyDescent="0.25">
      <c r="E118" s="15">
        <f>(-$B$3+37*2*$B$3/40)</f>
        <v>0.70051217079162598</v>
      </c>
      <c r="F118" s="15">
        <f>COS((-$B$3+37*2*$B$3/40))</f>
        <v>0.76451213749977576</v>
      </c>
    </row>
    <row r="120" spans="5:6" x14ac:dyDescent="0.25">
      <c r="E120" s="15">
        <f>(-$B$3+38*2*$B$3/40)</f>
        <v>0.74171876907348633</v>
      </c>
      <c r="F120" s="15">
        <f>(-$B$3+38*2*$B$3/40)^2</f>
        <v>0.55014673239588774</v>
      </c>
    </row>
    <row r="121" spans="5:6" x14ac:dyDescent="0.25">
      <c r="E121" s="15">
        <f>(-$B$3+38*2*$B$3/40)</f>
        <v>0.74171876907348633</v>
      </c>
      <c r="F121" s="15">
        <f>COS((-$B$3+38*2*$B$3/40))</f>
        <v>0.73730852331157326</v>
      </c>
    </row>
    <row r="123" spans="5:6" x14ac:dyDescent="0.25">
      <c r="E123" s="15">
        <f>(-$B$3+39*2*$B$3/40)</f>
        <v>0.78292536735534668</v>
      </c>
      <c r="F123" s="15">
        <f>(-$B$3+39*2*$B$3/40)^2</f>
        <v>0.61297213084850455</v>
      </c>
    </row>
    <row r="124" spans="5:6" x14ac:dyDescent="0.25">
      <c r="E124" s="15">
        <f>(-$B$3+39*2*$B$3/40)</f>
        <v>0.78292536735534668</v>
      </c>
      <c r="F124" s="15">
        <f>COS((-$B$3+39*2*$B$3/40))</f>
        <v>0.70885314837546565</v>
      </c>
    </row>
    <row r="126" spans="5:6" x14ac:dyDescent="0.25">
      <c r="E126" s="15">
        <f>(-$B$3+40*2*$B$3/40)</f>
        <v>0.82413196563720703</v>
      </c>
      <c r="F126" s="15">
        <f>(-$B$3+40*2*$B$3/40)^2</f>
        <v>0.67919349678504659</v>
      </c>
    </row>
    <row r="127" spans="5:6" x14ac:dyDescent="0.25">
      <c r="E127" s="15">
        <f>(-$B$3+40*2*$B$3/40)</f>
        <v>0.82413196563720703</v>
      </c>
      <c r="F127" s="15">
        <f>COS((-$B$3+40*2*$B$3/40))</f>
        <v>0.67919432261909629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Bisekcja</vt:lpstr>
      <vt:lpstr>Całkowanie</vt:lpstr>
      <vt:lpstr>Wykres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Echo</cp:lastModifiedBy>
  <dcterms:created xsi:type="dcterms:W3CDTF">2026-10-14T19:01:39Z</dcterms:created>
  <dcterms:modified xsi:type="dcterms:W3CDTF">2026-10-14T19:01:44Z</dcterms:modified>
</cp:coreProperties>
</file>